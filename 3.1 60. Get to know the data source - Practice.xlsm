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filterPrivacy="1" codeName="ThisWorkbook" defaultThemeVersion="124226"/>
  <xr:revisionPtr revIDLastSave="0" documentId="13_ncr:1_{24EFAD00-121D-4EE2-B795-6D0FDF4CC2EF}" xr6:coauthVersionLast="45" xr6:coauthVersionMax="45" xr10:uidLastSave="{00000000-0000-0000-0000-000000000000}"/>
  <bookViews>
    <workbookView xWindow="-120" yWindow="-120" windowWidth="20730" windowHeight="11160" firstSheet="3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FY2016'!$B$4:$G$4</definedName>
    <definedName name="_xlnm._FilterDatabase" localSheetId="4" hidden="1">'1.2 FY2017'!$B$4:$G$4</definedName>
    <definedName name="_xlnm._FilterDatabase" localSheetId="5" hidden="1">'1.3 FY2018'!$B$4:$G$4</definedName>
    <definedName name="_xlnm._FilterDatabase" localSheetId="7" hidden="1">'2.1 Database'!$B$3:$H$108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" i="10" l="1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F4" i="10" l="1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95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61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62" i="10"/>
  <c r="C61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E4" i="10"/>
  <c r="D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4" i="10"/>
</calcChain>
</file>

<file path=xl/sharedStrings.xml><?xml version="1.0" encoding="utf-8"?>
<sst xmlns="http://schemas.openxmlformats.org/spreadsheetml/2006/main" count="823" uniqueCount="224">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</sst>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11"/>
      <color rgb="FF00206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4" fillId="2" borderId="0" xfId="3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0" fontId="17" fillId="2" borderId="0" xfId="0" applyFont="1" applyFill="1"/>
    <xf numFmtId="0" fontId="1" fillId="2" borderId="0" xfId="0" applyFont="1" applyFill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F17"/>
  <sheetViews>
    <sheetView workbookViewId="0">
      <selection activeCell="F7" sqref="F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6" ht="15.75" x14ac:dyDescent="0.25">
      <c r="B1" s="3" t="s">
        <v>108</v>
      </c>
    </row>
    <row r="2" spans="2:6" x14ac:dyDescent="0.2">
      <c r="B2" s="7" t="s">
        <v>57</v>
      </c>
    </row>
    <row r="4" spans="2:6" ht="12.75" thickBot="1" x14ac:dyDescent="0.25">
      <c r="B4" s="13" t="s">
        <v>58</v>
      </c>
      <c r="C4" s="13" t="s">
        <v>59</v>
      </c>
      <c r="D4" s="13" t="s">
        <v>60</v>
      </c>
    </row>
    <row r="5" spans="2:6" x14ac:dyDescent="0.2">
      <c r="B5" s="8">
        <v>1</v>
      </c>
      <c r="C5" s="15" t="s">
        <v>61</v>
      </c>
    </row>
    <row r="6" spans="2:6" x14ac:dyDescent="0.2">
      <c r="B6" s="11">
        <v>2</v>
      </c>
      <c r="C6" s="12" t="s">
        <v>62</v>
      </c>
      <c r="D6" s="12"/>
    </row>
    <row r="7" spans="2:6" ht="15" x14ac:dyDescent="0.25">
      <c r="B7" s="8">
        <v>3</v>
      </c>
      <c r="C7" s="22" t="s">
        <v>109</v>
      </c>
      <c r="F7" s="23"/>
    </row>
    <row r="8" spans="2:6" x14ac:dyDescent="0.2">
      <c r="B8" s="8">
        <v>4</v>
      </c>
      <c r="C8" s="22" t="s">
        <v>110</v>
      </c>
    </row>
    <row r="9" spans="2:6" x14ac:dyDescent="0.2">
      <c r="B9" s="8">
        <v>5</v>
      </c>
      <c r="C9" s="22" t="s">
        <v>111</v>
      </c>
    </row>
    <row r="10" spans="2:6" x14ac:dyDescent="0.2">
      <c r="B10" s="11">
        <v>6</v>
      </c>
      <c r="C10" s="12" t="s">
        <v>63</v>
      </c>
      <c r="D10" s="12"/>
    </row>
    <row r="11" spans="2:6" x14ac:dyDescent="0.2">
      <c r="B11" s="8">
        <v>7</v>
      </c>
      <c r="C11" s="15" t="s">
        <v>92</v>
      </c>
    </row>
    <row r="12" spans="2:6" x14ac:dyDescent="0.2">
      <c r="B12" s="8">
        <v>8</v>
      </c>
      <c r="C12" s="15" t="s">
        <v>93</v>
      </c>
    </row>
    <row r="13" spans="2:6" x14ac:dyDescent="0.2">
      <c r="B13" s="9">
        <v>19</v>
      </c>
      <c r="C13" s="12" t="s">
        <v>94</v>
      </c>
      <c r="D13" s="10"/>
    </row>
    <row r="14" spans="2:6" x14ac:dyDescent="0.2">
      <c r="B14" s="8">
        <v>20</v>
      </c>
      <c r="C14" s="15" t="s">
        <v>95</v>
      </c>
    </row>
    <row r="15" spans="2:6" x14ac:dyDescent="0.2">
      <c r="B15" s="8">
        <v>21</v>
      </c>
      <c r="C15" s="15" t="s">
        <v>96</v>
      </c>
    </row>
    <row r="16" spans="2:6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H10" sqref="H10"/>
    </sheetView>
  </sheetViews>
  <sheetFormatPr defaultColWidth="9.140625" defaultRowHeight="12" x14ac:dyDescent="0.2"/>
  <cols>
    <col min="1" max="1" width="2" style="2" customWidth="1"/>
    <col min="2" max="2" width="21.140625" style="2" customWidth="1"/>
    <col min="3" max="3" width="30" style="2" customWidth="1"/>
    <col min="4" max="4" width="23.85546875" style="2" customWidth="1"/>
    <col min="5" max="5" width="36.5703125" style="2" customWidth="1"/>
    <col min="6" max="6" width="11.7109375" style="2" bestFit="1" customWidth="1"/>
    <col min="7" max="7" width="16.140625" style="2" bestFit="1" customWidth="1"/>
    <col min="8" max="8" width="17.28515625" style="2" bestFit="1" customWidth="1"/>
    <col min="9" max="16384" width="9.140625" style="2"/>
  </cols>
  <sheetData>
    <row r="1" spans="2:7" ht="15.75" x14ac:dyDescent="0.25">
      <c r="C1" s="3" t="s">
        <v>112</v>
      </c>
    </row>
    <row r="4" spans="2:7" x14ac:dyDescent="0.2">
      <c r="B4" s="2" t="s">
        <v>115</v>
      </c>
      <c r="C4" s="24" t="s">
        <v>99</v>
      </c>
      <c r="D4" s="24" t="s">
        <v>31</v>
      </c>
      <c r="E4" s="24" t="s">
        <v>100</v>
      </c>
      <c r="F4" s="24" t="s">
        <v>101</v>
      </c>
      <c r="G4" s="24" t="s">
        <v>102</v>
      </c>
    </row>
    <row r="5" spans="2:7" x14ac:dyDescent="0.2">
      <c r="B5" s="2" t="s">
        <v>116</v>
      </c>
      <c r="C5" s="24" t="s">
        <v>65</v>
      </c>
      <c r="D5" s="24">
        <v>111111</v>
      </c>
      <c r="E5" s="24" t="s">
        <v>103</v>
      </c>
      <c r="F5" s="20">
        <v>-14500341</v>
      </c>
      <c r="G5" s="25">
        <v>2001110000</v>
      </c>
    </row>
    <row r="6" spans="2:7" x14ac:dyDescent="0.2">
      <c r="B6" s="2" t="s">
        <v>117</v>
      </c>
      <c r="C6" s="24" t="s">
        <v>66</v>
      </c>
      <c r="D6" s="24">
        <v>111111</v>
      </c>
      <c r="E6" s="24" t="s">
        <v>103</v>
      </c>
      <c r="F6" s="20">
        <v>-4794856.1919999998</v>
      </c>
      <c r="G6" s="25">
        <v>2001190000</v>
      </c>
    </row>
    <row r="7" spans="2:7" x14ac:dyDescent="0.2">
      <c r="B7" s="2" t="s">
        <v>118</v>
      </c>
      <c r="C7" s="24" t="s">
        <v>67</v>
      </c>
      <c r="D7" s="24">
        <v>1009</v>
      </c>
      <c r="E7" s="24" t="s">
        <v>35</v>
      </c>
      <c r="F7" s="20">
        <v>-154890.4</v>
      </c>
      <c r="G7" s="25">
        <v>2020000000</v>
      </c>
    </row>
    <row r="8" spans="2:7" x14ac:dyDescent="0.2">
      <c r="B8" s="2" t="s">
        <v>119</v>
      </c>
      <c r="C8" s="24" t="s">
        <v>67</v>
      </c>
      <c r="D8" s="24">
        <v>1007</v>
      </c>
      <c r="E8" s="24" t="s">
        <v>37</v>
      </c>
      <c r="F8" s="20">
        <v>-1180894.0520000001</v>
      </c>
      <c r="G8" s="25">
        <v>2020000000</v>
      </c>
    </row>
    <row r="9" spans="2:7" x14ac:dyDescent="0.2">
      <c r="B9" s="2" t="s">
        <v>120</v>
      </c>
      <c r="C9" s="24" t="s">
        <v>67</v>
      </c>
      <c r="D9" s="24">
        <v>1008</v>
      </c>
      <c r="E9" s="24" t="s">
        <v>39</v>
      </c>
      <c r="F9" s="20">
        <v>-793079.51199999999</v>
      </c>
      <c r="G9" s="25">
        <v>2020000000</v>
      </c>
    </row>
    <row r="10" spans="2:7" x14ac:dyDescent="0.2">
      <c r="B10" s="2" t="s">
        <v>121</v>
      </c>
      <c r="C10" s="24" t="s">
        <v>67</v>
      </c>
      <c r="D10" s="24">
        <v>111101</v>
      </c>
      <c r="E10" s="24" t="s">
        <v>0</v>
      </c>
      <c r="F10" s="20">
        <v>-2277197.6</v>
      </c>
      <c r="G10" s="25">
        <v>2020000000</v>
      </c>
    </row>
    <row r="11" spans="2:7" x14ac:dyDescent="0.2">
      <c r="B11" s="2" t="s">
        <v>122</v>
      </c>
      <c r="C11" s="24" t="s">
        <v>104</v>
      </c>
      <c r="D11" s="24">
        <v>111111</v>
      </c>
      <c r="E11" s="24" t="s">
        <v>103</v>
      </c>
      <c r="F11" s="20">
        <v>4428911.7640000004</v>
      </c>
      <c r="G11" s="25">
        <v>2021900000</v>
      </c>
    </row>
    <row r="12" spans="2:7" x14ac:dyDescent="0.2">
      <c r="B12" s="2" t="s">
        <v>123</v>
      </c>
      <c r="C12" s="24" t="s">
        <v>69</v>
      </c>
      <c r="D12" s="24">
        <v>111111</v>
      </c>
      <c r="E12" s="24" t="s">
        <v>103</v>
      </c>
      <c r="F12" s="20">
        <v>16977.628000000001</v>
      </c>
      <c r="G12" s="25">
        <v>2024080000</v>
      </c>
    </row>
    <row r="13" spans="2:7" x14ac:dyDescent="0.2">
      <c r="B13" s="2" t="s">
        <v>124</v>
      </c>
      <c r="C13" s="24" t="s">
        <v>68</v>
      </c>
      <c r="D13" s="24">
        <v>88</v>
      </c>
      <c r="E13" s="24" t="s">
        <v>32</v>
      </c>
      <c r="F13" s="20">
        <v>2245437.54</v>
      </c>
      <c r="G13" s="25">
        <v>2024090000</v>
      </c>
    </row>
    <row r="14" spans="2:7" x14ac:dyDescent="0.2">
      <c r="B14" s="2" t="s">
        <v>125</v>
      </c>
      <c r="C14" s="24" t="s">
        <v>68</v>
      </c>
      <c r="D14" s="24">
        <v>111111</v>
      </c>
      <c r="E14" s="24" t="s">
        <v>103</v>
      </c>
      <c r="F14" s="20">
        <v>16605.634000000002</v>
      </c>
      <c r="G14" s="25">
        <v>2024090000</v>
      </c>
    </row>
    <row r="15" spans="2:7" x14ac:dyDescent="0.2">
      <c r="B15" s="2" t="s">
        <v>126</v>
      </c>
      <c r="C15" s="24" t="s">
        <v>1</v>
      </c>
      <c r="D15" s="24">
        <v>111111</v>
      </c>
      <c r="E15" s="24" t="s">
        <v>103</v>
      </c>
      <c r="F15" s="20">
        <v>4683394.0460000001</v>
      </c>
      <c r="G15" s="25">
        <v>2041000000</v>
      </c>
    </row>
    <row r="16" spans="2:7" x14ac:dyDescent="0.2">
      <c r="B16" s="2" t="s">
        <v>127</v>
      </c>
      <c r="C16" s="24" t="s">
        <v>70</v>
      </c>
      <c r="D16" s="24">
        <v>111101</v>
      </c>
      <c r="E16" s="24" t="s">
        <v>0</v>
      </c>
      <c r="F16" s="20">
        <v>1143051.5760000001</v>
      </c>
      <c r="G16" s="25">
        <v>2042000000</v>
      </c>
    </row>
    <row r="17" spans="2:7" x14ac:dyDescent="0.2">
      <c r="B17" s="2" t="s">
        <v>128</v>
      </c>
      <c r="C17" s="24" t="s">
        <v>70</v>
      </c>
      <c r="D17" s="24">
        <v>88</v>
      </c>
      <c r="E17" s="24" t="s">
        <v>32</v>
      </c>
      <c r="F17" s="20">
        <v>239379.61800000002</v>
      </c>
      <c r="G17" s="25">
        <v>2042000000</v>
      </c>
    </row>
    <row r="18" spans="2:7" x14ac:dyDescent="0.2">
      <c r="B18" s="2" t="s">
        <v>129</v>
      </c>
      <c r="C18" s="24" t="s">
        <v>71</v>
      </c>
      <c r="D18" s="24">
        <v>111101</v>
      </c>
      <c r="E18" s="24" t="s">
        <v>0</v>
      </c>
      <c r="F18" s="20">
        <v>104913.8</v>
      </c>
      <c r="G18" s="25">
        <v>2045000000</v>
      </c>
    </row>
    <row r="19" spans="2:7" x14ac:dyDescent="0.2">
      <c r="B19" s="2" t="s">
        <v>130</v>
      </c>
      <c r="C19" s="24" t="s">
        <v>72</v>
      </c>
      <c r="D19" s="24">
        <v>111101</v>
      </c>
      <c r="E19" s="24" t="s">
        <v>0</v>
      </c>
      <c r="F19" s="20">
        <v>2003262.2180000001</v>
      </c>
      <c r="G19" s="25">
        <v>2051210000</v>
      </c>
    </row>
    <row r="20" spans="2:7" x14ac:dyDescent="0.2">
      <c r="B20" s="2" t="s">
        <v>131</v>
      </c>
      <c r="C20" s="24" t="s">
        <v>72</v>
      </c>
      <c r="D20" s="24">
        <v>1</v>
      </c>
      <c r="E20" s="24" t="s">
        <v>0</v>
      </c>
      <c r="F20" s="20">
        <v>41981.296000000002</v>
      </c>
      <c r="G20" s="25">
        <v>2051210000</v>
      </c>
    </row>
    <row r="21" spans="2:7" x14ac:dyDescent="0.2">
      <c r="B21" s="2" t="s">
        <v>132</v>
      </c>
      <c r="C21" s="24" t="s">
        <v>73</v>
      </c>
      <c r="D21" s="24" t="s">
        <v>3</v>
      </c>
      <c r="E21" s="24" t="s">
        <v>40</v>
      </c>
      <c r="F21" s="20">
        <v>-2156147.4</v>
      </c>
      <c r="G21" s="25">
        <v>2069010000</v>
      </c>
    </row>
    <row r="22" spans="2:7" x14ac:dyDescent="0.2">
      <c r="B22" s="2" t="s">
        <v>133</v>
      </c>
      <c r="C22" s="24" t="s">
        <v>73</v>
      </c>
      <c r="D22" s="24">
        <v>14</v>
      </c>
      <c r="E22" s="24" t="s">
        <v>41</v>
      </c>
      <c r="F22" s="20">
        <v>-291428.55199999997</v>
      </c>
      <c r="G22" s="25">
        <v>2069010000</v>
      </c>
    </row>
    <row r="23" spans="2:7" x14ac:dyDescent="0.2">
      <c r="B23" s="2" t="s">
        <v>134</v>
      </c>
      <c r="C23" s="24" t="s">
        <v>73</v>
      </c>
      <c r="D23" s="24">
        <v>1037</v>
      </c>
      <c r="E23" s="24" t="s">
        <v>46</v>
      </c>
      <c r="F23" s="20">
        <v>0</v>
      </c>
      <c r="G23" s="25">
        <v>2069010000</v>
      </c>
    </row>
    <row r="24" spans="2:7" x14ac:dyDescent="0.2">
      <c r="B24" s="2" t="s">
        <v>135</v>
      </c>
      <c r="C24" s="24" t="s">
        <v>73</v>
      </c>
      <c r="D24" s="24" t="s">
        <v>4</v>
      </c>
      <c r="E24" s="24" t="s">
        <v>45</v>
      </c>
      <c r="F24" s="20">
        <v>-33736.5</v>
      </c>
      <c r="G24" s="25">
        <v>2069010000</v>
      </c>
    </row>
    <row r="25" spans="2:7" x14ac:dyDescent="0.2">
      <c r="B25" s="2" t="s">
        <v>136</v>
      </c>
      <c r="C25" s="24" t="s">
        <v>73</v>
      </c>
      <c r="D25" s="24">
        <v>1009</v>
      </c>
      <c r="E25" s="24" t="s">
        <v>35</v>
      </c>
      <c r="F25" s="20">
        <v>0</v>
      </c>
      <c r="G25" s="25">
        <v>2069010000</v>
      </c>
    </row>
    <row r="26" spans="2:7" x14ac:dyDescent="0.2">
      <c r="B26" s="2" t="s">
        <v>137</v>
      </c>
      <c r="C26" s="24" t="s">
        <v>73</v>
      </c>
      <c r="D26" s="24">
        <v>1007</v>
      </c>
      <c r="E26" s="24" t="s">
        <v>37</v>
      </c>
      <c r="F26" s="20">
        <v>0</v>
      </c>
      <c r="G26" s="25">
        <v>2069010000</v>
      </c>
    </row>
    <row r="27" spans="2:7" x14ac:dyDescent="0.2">
      <c r="B27" s="2" t="s">
        <v>138</v>
      </c>
      <c r="C27" s="24" t="s">
        <v>73</v>
      </c>
      <c r="D27" s="24">
        <v>1008</v>
      </c>
      <c r="E27" s="24" t="s">
        <v>39</v>
      </c>
      <c r="F27" s="20">
        <v>0</v>
      </c>
      <c r="G27" s="25">
        <v>2069010000</v>
      </c>
    </row>
    <row r="28" spans="2:7" x14ac:dyDescent="0.2">
      <c r="B28" s="2" t="s">
        <v>139</v>
      </c>
      <c r="C28" s="24" t="s">
        <v>73</v>
      </c>
      <c r="D28" s="24">
        <v>1240</v>
      </c>
      <c r="E28" s="24" t="s">
        <v>44</v>
      </c>
      <c r="F28" s="20">
        <v>-199600.4</v>
      </c>
      <c r="G28" s="25">
        <v>2069010000</v>
      </c>
    </row>
    <row r="29" spans="2:7" x14ac:dyDescent="0.2">
      <c r="B29" s="2" t="s">
        <v>140</v>
      </c>
      <c r="C29" s="24" t="s">
        <v>73</v>
      </c>
      <c r="D29" s="24">
        <v>111111</v>
      </c>
      <c r="E29" s="24" t="s">
        <v>103</v>
      </c>
      <c r="F29" s="20">
        <v>-539141.4</v>
      </c>
      <c r="G29" s="25">
        <v>2069010000</v>
      </c>
    </row>
    <row r="30" spans="2:7" x14ac:dyDescent="0.2">
      <c r="B30" s="2" t="s">
        <v>141</v>
      </c>
      <c r="C30" s="24" t="s">
        <v>74</v>
      </c>
      <c r="D30" s="24">
        <v>111111</v>
      </c>
      <c r="E30" s="24" t="s">
        <v>103</v>
      </c>
      <c r="F30" s="20">
        <v>-57.221999999999994</v>
      </c>
      <c r="G30" s="25">
        <v>2069980000</v>
      </c>
    </row>
    <row r="31" spans="2:7" x14ac:dyDescent="0.2">
      <c r="B31" s="2" t="s">
        <v>142</v>
      </c>
      <c r="C31" s="24" t="s">
        <v>75</v>
      </c>
      <c r="D31" s="24">
        <v>111111</v>
      </c>
      <c r="E31" s="24" t="s">
        <v>103</v>
      </c>
      <c r="F31" s="20">
        <v>22314.879999999997</v>
      </c>
      <c r="G31" s="25">
        <v>2070400000</v>
      </c>
    </row>
    <row r="32" spans="2:7" x14ac:dyDescent="0.2">
      <c r="B32" s="2" t="s">
        <v>143</v>
      </c>
      <c r="C32" s="24" t="s">
        <v>76</v>
      </c>
      <c r="D32" s="24">
        <v>88</v>
      </c>
      <c r="E32" s="24" t="s">
        <v>32</v>
      </c>
      <c r="F32" s="20">
        <v>204000</v>
      </c>
      <c r="G32" s="25">
        <v>2070500000</v>
      </c>
    </row>
    <row r="33" spans="2:7" x14ac:dyDescent="0.2">
      <c r="B33" s="2" t="s">
        <v>144</v>
      </c>
      <c r="C33" s="24" t="s">
        <v>76</v>
      </c>
      <c r="D33" s="24">
        <v>111111</v>
      </c>
      <c r="E33" s="24" t="s">
        <v>103</v>
      </c>
      <c r="F33" s="20">
        <v>138.41399999999999</v>
      </c>
      <c r="G33" s="25">
        <v>2070500000</v>
      </c>
    </row>
    <row r="34" spans="2:7" x14ac:dyDescent="0.2">
      <c r="B34" s="2" t="s">
        <v>145</v>
      </c>
      <c r="C34" s="24" t="s">
        <v>77</v>
      </c>
      <c r="D34" s="24">
        <v>111111</v>
      </c>
      <c r="E34" s="24" t="s">
        <v>103</v>
      </c>
      <c r="F34" s="20">
        <v>1127445.872</v>
      </c>
      <c r="G34" s="25">
        <v>2070600000</v>
      </c>
    </row>
    <row r="35" spans="2:7" x14ac:dyDescent="0.2">
      <c r="B35" s="2" t="s">
        <v>146</v>
      </c>
      <c r="C35" s="24" t="s">
        <v>78</v>
      </c>
      <c r="D35" s="24" t="s">
        <v>5</v>
      </c>
      <c r="E35" s="24" t="s">
        <v>42</v>
      </c>
      <c r="F35" s="20">
        <v>133722</v>
      </c>
      <c r="G35" s="25">
        <v>2070900000</v>
      </c>
    </row>
    <row r="36" spans="2:7" x14ac:dyDescent="0.2">
      <c r="B36" s="2" t="s">
        <v>147</v>
      </c>
      <c r="C36" s="24" t="s">
        <v>78</v>
      </c>
      <c r="D36" s="24" t="s">
        <v>6</v>
      </c>
      <c r="E36" s="24" t="s">
        <v>43</v>
      </c>
      <c r="F36" s="20">
        <v>328061.886</v>
      </c>
      <c r="G36" s="25">
        <v>2070900000</v>
      </c>
    </row>
    <row r="37" spans="2:7" x14ac:dyDescent="0.2">
      <c r="B37" s="2" t="s">
        <v>148</v>
      </c>
      <c r="C37" s="24" t="s">
        <v>78</v>
      </c>
      <c r="D37" s="24">
        <v>111111</v>
      </c>
      <c r="E37" s="24" t="s">
        <v>103</v>
      </c>
      <c r="F37" s="20">
        <v>2081304.3219999997</v>
      </c>
      <c r="G37" s="25">
        <v>2070900000</v>
      </c>
    </row>
    <row r="38" spans="2:7" x14ac:dyDescent="0.2">
      <c r="B38" s="2" t="s">
        <v>149</v>
      </c>
      <c r="C38" s="24" t="s">
        <v>7</v>
      </c>
      <c r="D38" s="24">
        <v>111111</v>
      </c>
      <c r="E38" s="24" t="s">
        <v>103</v>
      </c>
      <c r="F38" s="20">
        <v>33410.031999999999</v>
      </c>
      <c r="G38" s="25">
        <v>2071000000</v>
      </c>
    </row>
    <row r="39" spans="2:7" x14ac:dyDescent="0.2">
      <c r="B39" s="2" t="s">
        <v>150</v>
      </c>
      <c r="C39" s="24" t="s">
        <v>79</v>
      </c>
      <c r="D39" s="24">
        <v>111111</v>
      </c>
      <c r="E39" s="24" t="s">
        <v>103</v>
      </c>
      <c r="F39" s="20">
        <v>213090.85199999998</v>
      </c>
      <c r="G39" s="25">
        <v>2071100000</v>
      </c>
    </row>
    <row r="40" spans="2:7" x14ac:dyDescent="0.2">
      <c r="B40" s="2" t="s">
        <v>151</v>
      </c>
      <c r="C40" s="24" t="s">
        <v>8</v>
      </c>
      <c r="D40" s="24">
        <v>111111</v>
      </c>
      <c r="E40" s="24" t="s">
        <v>103</v>
      </c>
      <c r="F40" s="20">
        <v>1813525.004</v>
      </c>
      <c r="G40" s="25">
        <v>2071209200</v>
      </c>
    </row>
    <row r="41" spans="2:7" x14ac:dyDescent="0.2">
      <c r="B41" s="2" t="s">
        <v>152</v>
      </c>
      <c r="C41" s="24" t="s">
        <v>80</v>
      </c>
      <c r="D41" s="24">
        <v>111111</v>
      </c>
      <c r="E41" s="24" t="s">
        <v>103</v>
      </c>
      <c r="F41" s="20">
        <v>5552.2</v>
      </c>
      <c r="G41" s="25">
        <v>2071209400</v>
      </c>
    </row>
    <row r="42" spans="2:7" x14ac:dyDescent="0.2">
      <c r="B42" s="2" t="s">
        <v>153</v>
      </c>
      <c r="C42" s="24" t="s">
        <v>81</v>
      </c>
      <c r="D42" s="24">
        <v>111111</v>
      </c>
      <c r="E42" s="24" t="s">
        <v>103</v>
      </c>
      <c r="F42" s="20">
        <v>43868.975999999995</v>
      </c>
      <c r="G42" s="25">
        <v>2071209500</v>
      </c>
    </row>
    <row r="43" spans="2:7" x14ac:dyDescent="0.2">
      <c r="B43" s="2" t="s">
        <v>154</v>
      </c>
      <c r="C43" s="24" t="s">
        <v>82</v>
      </c>
      <c r="D43" s="24">
        <v>111101</v>
      </c>
      <c r="E43" s="24" t="s">
        <v>0</v>
      </c>
      <c r="F43" s="20">
        <v>10934.671999999999</v>
      </c>
      <c r="G43" s="25">
        <v>2071980000</v>
      </c>
    </row>
    <row r="44" spans="2:7" x14ac:dyDescent="0.2">
      <c r="B44" s="2" t="s">
        <v>155</v>
      </c>
      <c r="C44" s="24" t="s">
        <v>83</v>
      </c>
      <c r="D44" s="24">
        <v>111111</v>
      </c>
      <c r="E44" s="24" t="s">
        <v>103</v>
      </c>
      <c r="F44" s="20">
        <v>20400</v>
      </c>
      <c r="G44" s="25">
        <v>2079022000</v>
      </c>
    </row>
    <row r="45" spans="2:7" x14ac:dyDescent="0.2">
      <c r="B45" s="2" t="s">
        <v>156</v>
      </c>
      <c r="C45" s="24" t="s">
        <v>84</v>
      </c>
      <c r="D45" s="24">
        <v>105</v>
      </c>
      <c r="E45" s="24" t="s">
        <v>33</v>
      </c>
      <c r="F45" s="20">
        <v>0</v>
      </c>
      <c r="G45" s="25">
        <v>2079070000</v>
      </c>
    </row>
    <row r="46" spans="2:7" x14ac:dyDescent="0.2">
      <c r="B46" s="2" t="s">
        <v>157</v>
      </c>
      <c r="C46" s="24" t="s">
        <v>84</v>
      </c>
      <c r="D46" s="24">
        <v>111111</v>
      </c>
      <c r="E46" s="24" t="s">
        <v>103</v>
      </c>
      <c r="F46" s="20">
        <v>563918.152</v>
      </c>
      <c r="G46" s="25">
        <v>2079070000</v>
      </c>
    </row>
    <row r="47" spans="2:7" x14ac:dyDescent="0.2">
      <c r="B47" s="2" t="s">
        <v>158</v>
      </c>
      <c r="C47" s="24" t="s">
        <v>85</v>
      </c>
      <c r="D47" s="24">
        <v>1009</v>
      </c>
      <c r="E47" s="24" t="s">
        <v>35</v>
      </c>
      <c r="F47" s="20">
        <v>0</v>
      </c>
      <c r="G47" s="25">
        <v>2079080000</v>
      </c>
    </row>
    <row r="48" spans="2:7" x14ac:dyDescent="0.2">
      <c r="B48" s="2" t="s">
        <v>159</v>
      </c>
      <c r="C48" s="24" t="s">
        <v>85</v>
      </c>
      <c r="D48" s="24">
        <v>1007</v>
      </c>
      <c r="E48" s="24" t="s">
        <v>37</v>
      </c>
      <c r="F48" s="20">
        <v>0</v>
      </c>
      <c r="G48" s="25">
        <v>2079080000</v>
      </c>
    </row>
    <row r="49" spans="2:7" x14ac:dyDescent="0.2">
      <c r="B49" s="2" t="s">
        <v>160</v>
      </c>
      <c r="C49" s="24" t="s">
        <v>85</v>
      </c>
      <c r="D49" s="24">
        <v>1008</v>
      </c>
      <c r="E49" s="24" t="s">
        <v>39</v>
      </c>
      <c r="F49" s="20">
        <v>0</v>
      </c>
      <c r="G49" s="25">
        <v>2079080000</v>
      </c>
    </row>
    <row r="50" spans="2:7" x14ac:dyDescent="0.2">
      <c r="B50" s="2" t="s">
        <v>161</v>
      </c>
      <c r="C50" s="24" t="s">
        <v>86</v>
      </c>
      <c r="D50" s="24">
        <v>1009</v>
      </c>
      <c r="E50" s="24" t="s">
        <v>35</v>
      </c>
      <c r="F50" s="20">
        <v>0</v>
      </c>
      <c r="G50" s="25">
        <v>2082280000</v>
      </c>
    </row>
    <row r="51" spans="2:7" x14ac:dyDescent="0.2">
      <c r="B51" s="2" t="s">
        <v>162</v>
      </c>
      <c r="C51" s="24" t="s">
        <v>86</v>
      </c>
      <c r="D51" s="24">
        <v>1007</v>
      </c>
      <c r="E51" s="24" t="s">
        <v>37</v>
      </c>
      <c r="F51" s="20">
        <v>0</v>
      </c>
      <c r="G51" s="25">
        <v>2082280000</v>
      </c>
    </row>
    <row r="52" spans="2:7" x14ac:dyDescent="0.2">
      <c r="B52" s="2" t="s">
        <v>163</v>
      </c>
      <c r="C52" s="24" t="s">
        <v>86</v>
      </c>
      <c r="D52" s="24">
        <v>1008</v>
      </c>
      <c r="E52" s="24" t="s">
        <v>39</v>
      </c>
      <c r="F52" s="20">
        <v>0</v>
      </c>
      <c r="G52" s="25">
        <v>2082280000</v>
      </c>
    </row>
    <row r="53" spans="2:7" x14ac:dyDescent="0.2">
      <c r="B53" s="2" t="s">
        <v>164</v>
      </c>
      <c r="C53" s="24" t="s">
        <v>86</v>
      </c>
      <c r="D53" s="24">
        <v>1240</v>
      </c>
      <c r="E53" s="24" t="s">
        <v>44</v>
      </c>
      <c r="F53" s="20">
        <v>-35810.228000000003</v>
      </c>
      <c r="G53" s="25">
        <v>2082280000</v>
      </c>
    </row>
    <row r="54" spans="2:7" x14ac:dyDescent="0.2">
      <c r="B54" s="2" t="s">
        <v>165</v>
      </c>
      <c r="C54" s="24" t="s">
        <v>86</v>
      </c>
      <c r="D54" s="24">
        <v>111111</v>
      </c>
      <c r="E54" s="24" t="s">
        <v>103</v>
      </c>
      <c r="F54" s="20">
        <v>-51927.417999999998</v>
      </c>
      <c r="G54" s="25">
        <v>2082280000</v>
      </c>
    </row>
    <row r="55" spans="2:7" x14ac:dyDescent="0.2">
      <c r="B55" s="2" t="s">
        <v>166</v>
      </c>
      <c r="C55" s="24" t="s">
        <v>9</v>
      </c>
      <c r="D55" s="24">
        <v>111101</v>
      </c>
      <c r="E55" s="24" t="s">
        <v>0</v>
      </c>
      <c r="F55" s="20">
        <v>-862270.63399999996</v>
      </c>
      <c r="G55" s="25">
        <v>2082202000</v>
      </c>
    </row>
    <row r="56" spans="2:7" x14ac:dyDescent="0.2">
      <c r="B56" s="2" t="s">
        <v>167</v>
      </c>
      <c r="C56" s="24" t="s">
        <v>87</v>
      </c>
      <c r="D56" s="24">
        <v>111101</v>
      </c>
      <c r="E56" s="24" t="s">
        <v>0</v>
      </c>
      <c r="F56" s="20">
        <v>22763</v>
      </c>
      <c r="G56" s="25">
        <v>2082208200</v>
      </c>
    </row>
    <row r="57" spans="2:7" x14ac:dyDescent="0.2">
      <c r="B57" s="2" t="s">
        <v>168</v>
      </c>
      <c r="C57" s="24" t="s">
        <v>88</v>
      </c>
      <c r="D57" s="24">
        <v>88</v>
      </c>
      <c r="E57" s="24" t="s">
        <v>32</v>
      </c>
      <c r="F57" s="20">
        <v>2930430.0120000001</v>
      </c>
      <c r="G57" s="25">
        <v>2082214000</v>
      </c>
    </row>
    <row r="58" spans="2:7" x14ac:dyDescent="0.2">
      <c r="B58" s="2" t="s">
        <v>169</v>
      </c>
      <c r="C58" s="24" t="s">
        <v>89</v>
      </c>
      <c r="D58" s="24">
        <v>111101</v>
      </c>
      <c r="E58" s="24" t="s">
        <v>0</v>
      </c>
      <c r="F58" s="20">
        <v>-49378.641999999993</v>
      </c>
      <c r="G58" s="25">
        <v>2091200000</v>
      </c>
    </row>
    <row r="59" spans="2:7" x14ac:dyDescent="0.2">
      <c r="B59" s="2" t="s">
        <v>170</v>
      </c>
      <c r="C59" s="24" t="s">
        <v>90</v>
      </c>
      <c r="D59" s="24">
        <v>111101</v>
      </c>
      <c r="E59" s="24" t="s">
        <v>0</v>
      </c>
      <c r="F59" s="20">
        <v>516250.67</v>
      </c>
      <c r="G59" s="25">
        <v>2091200001</v>
      </c>
    </row>
    <row r="60" spans="2:7" x14ac:dyDescent="0.2">
      <c r="B60" s="2" t="s">
        <v>171</v>
      </c>
      <c r="C60" s="24" t="s">
        <v>91</v>
      </c>
      <c r="D60" s="24">
        <v>111101</v>
      </c>
      <c r="E60" s="24" t="s">
        <v>0</v>
      </c>
      <c r="F60" s="20">
        <v>21593.093999999997</v>
      </c>
      <c r="G60" s="25">
        <v>2092200000</v>
      </c>
    </row>
    <row r="61" spans="2:7" x14ac:dyDescent="0.2">
      <c r="B61" s="2" t="s">
        <v>172</v>
      </c>
      <c r="C61" s="26" t="s">
        <v>64</v>
      </c>
      <c r="D61" s="26">
        <v>111101</v>
      </c>
      <c r="E61" s="26" t="s">
        <v>0</v>
      </c>
      <c r="F61" s="27">
        <v>-2904117.9939999986</v>
      </c>
      <c r="G61" s="28">
        <v>2999999999</v>
      </c>
    </row>
    <row r="62" spans="2:7" x14ac:dyDescent="0.2">
      <c r="D62" s="6"/>
      <c r="G62" s="5"/>
    </row>
    <row r="63" spans="2:7" x14ac:dyDescent="0.2">
      <c r="D63" s="6"/>
      <c r="G63" s="5"/>
    </row>
    <row r="64" spans="2:7" x14ac:dyDescent="0.2">
      <c r="D64" s="6"/>
      <c r="G64" s="5"/>
    </row>
    <row r="65" spans="4:7" x14ac:dyDescent="0.2">
      <c r="D65" s="6"/>
      <c r="G65" s="5"/>
    </row>
    <row r="66" spans="4:7" x14ac:dyDescent="0.2">
      <c r="D66" s="6"/>
      <c r="G66" s="5"/>
    </row>
    <row r="67" spans="4:7" x14ac:dyDescent="0.2">
      <c r="D67" s="6"/>
      <c r="G67" s="5"/>
    </row>
    <row r="68" spans="4:7" x14ac:dyDescent="0.2">
      <c r="D68" s="6"/>
      <c r="G68" s="5"/>
    </row>
    <row r="69" spans="4:7" x14ac:dyDescent="0.2">
      <c r="D69" s="6"/>
      <c r="G69" s="5"/>
    </row>
    <row r="70" spans="4:7" x14ac:dyDescent="0.2">
      <c r="D70" s="6"/>
      <c r="G70" s="5"/>
    </row>
    <row r="71" spans="4:7" x14ac:dyDescent="0.2">
      <c r="D71" s="6"/>
      <c r="G71" s="5"/>
    </row>
    <row r="72" spans="4:7" x14ac:dyDescent="0.2">
      <c r="D72" s="6"/>
      <c r="G72" s="5"/>
    </row>
    <row r="73" spans="4:7" x14ac:dyDescent="0.2">
      <c r="D73" s="6"/>
      <c r="G73" s="5"/>
    </row>
    <row r="74" spans="4:7" x14ac:dyDescent="0.2">
      <c r="D74" s="6"/>
      <c r="G74" s="5"/>
    </row>
    <row r="75" spans="4:7" x14ac:dyDescent="0.2">
      <c r="D75" s="6"/>
      <c r="G75" s="5"/>
    </row>
    <row r="76" spans="4:7" x14ac:dyDescent="0.2">
      <c r="D76" s="6"/>
      <c r="G76" s="5"/>
    </row>
    <row r="77" spans="4:7" x14ac:dyDescent="0.2">
      <c r="D77" s="6"/>
      <c r="G77" s="5"/>
    </row>
    <row r="78" spans="4:7" x14ac:dyDescent="0.2">
      <c r="D78" s="6"/>
      <c r="G78" s="5"/>
    </row>
    <row r="79" spans="4:7" x14ac:dyDescent="0.2">
      <c r="D79" s="6"/>
      <c r="G79" s="5"/>
    </row>
    <row r="80" spans="4:7" x14ac:dyDescent="0.2">
      <c r="D80" s="6"/>
      <c r="G80" s="5"/>
    </row>
    <row r="81" spans="4:7" x14ac:dyDescent="0.2">
      <c r="D81" s="6"/>
      <c r="G81" s="5"/>
    </row>
    <row r="82" spans="4:7" x14ac:dyDescent="0.2">
      <c r="D82" s="6"/>
      <c r="G82" s="5"/>
    </row>
    <row r="83" spans="4:7" x14ac:dyDescent="0.2">
      <c r="D83" s="6"/>
      <c r="G83" s="5"/>
    </row>
    <row r="84" spans="4:7" x14ac:dyDescent="0.2">
      <c r="D84" s="6"/>
      <c r="G84" s="5"/>
    </row>
    <row r="85" spans="4:7" x14ac:dyDescent="0.2">
      <c r="D85" s="6"/>
      <c r="G85" s="5"/>
    </row>
    <row r="86" spans="4:7" x14ac:dyDescent="0.2">
      <c r="D86" s="6"/>
      <c r="G86" s="5"/>
    </row>
    <row r="87" spans="4:7" x14ac:dyDescent="0.2">
      <c r="D87" s="6"/>
      <c r="G87" s="5"/>
    </row>
    <row r="88" spans="4:7" x14ac:dyDescent="0.2">
      <c r="D88" s="6"/>
      <c r="G88" s="5"/>
    </row>
    <row r="89" spans="4:7" x14ac:dyDescent="0.2">
      <c r="D89" s="6"/>
      <c r="G89" s="5"/>
    </row>
    <row r="90" spans="4:7" x14ac:dyDescent="0.2">
      <c r="D90" s="6"/>
      <c r="G90" s="5"/>
    </row>
    <row r="91" spans="4:7" x14ac:dyDescent="0.2">
      <c r="D91" s="6"/>
      <c r="G91" s="5"/>
    </row>
    <row r="92" spans="4:7" x14ac:dyDescent="0.2">
      <c r="D92" s="6"/>
      <c r="G92" s="5"/>
    </row>
    <row r="93" spans="4:7" x14ac:dyDescent="0.2">
      <c r="D93" s="6"/>
      <c r="G93" s="5"/>
    </row>
    <row r="94" spans="4:7" x14ac:dyDescent="0.2">
      <c r="D94" s="6"/>
      <c r="G94" s="5"/>
    </row>
    <row r="95" spans="4:7" x14ac:dyDescent="0.2">
      <c r="D95" s="6"/>
      <c r="G95" s="5"/>
    </row>
    <row r="96" spans="4:7" x14ac:dyDescent="0.2">
      <c r="D96" s="6"/>
      <c r="G96" s="5"/>
    </row>
  </sheetData>
  <autoFilter ref="B4:G4" xr:uid="{4864290C-9A63-4367-A2E7-0F353EB73A27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9"/>
  <sheetViews>
    <sheetView workbookViewId="0">
      <selection activeCell="G9" sqref="G9"/>
    </sheetView>
  </sheetViews>
  <sheetFormatPr defaultColWidth="9.140625" defaultRowHeight="12" x14ac:dyDescent="0.2"/>
  <cols>
    <col min="1" max="1" width="2" style="2" customWidth="1"/>
    <col min="2" max="2" width="18.7109375" style="2" customWidth="1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6.140625" style="2" bestFit="1" customWidth="1"/>
    <col min="8" max="8" width="14.140625" style="2" bestFit="1" customWidth="1"/>
    <col min="9" max="16384" width="9.140625" style="2"/>
  </cols>
  <sheetData>
    <row r="1" spans="2:7" ht="15.75" x14ac:dyDescent="0.25">
      <c r="C1" s="3" t="s">
        <v>113</v>
      </c>
    </row>
    <row r="4" spans="2:7" x14ac:dyDescent="0.2">
      <c r="B4" s="2" t="s">
        <v>115</v>
      </c>
      <c r="C4" s="24" t="s">
        <v>99</v>
      </c>
      <c r="D4" s="24" t="s">
        <v>31</v>
      </c>
      <c r="E4" s="24" t="s">
        <v>100</v>
      </c>
      <c r="F4" s="24" t="s">
        <v>101</v>
      </c>
      <c r="G4" s="24" t="s">
        <v>102</v>
      </c>
    </row>
    <row r="5" spans="2:7" x14ac:dyDescent="0.2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2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2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2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2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2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2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2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2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2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2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2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2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2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2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2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2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2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2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2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2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2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2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2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2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2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2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2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2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2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2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2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2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2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2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2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2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2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2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2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2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2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2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2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2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2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2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2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2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2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2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2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2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2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2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2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2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2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2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2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2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2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2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2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2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2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2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2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2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2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2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2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2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2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2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2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2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2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2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2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2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2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2">
      <c r="D87" s="6"/>
    </row>
    <row r="88" spans="2:7" x14ac:dyDescent="0.2">
      <c r="D88" s="6"/>
    </row>
    <row r="89" spans="2:7" x14ac:dyDescent="0.2">
      <c r="D89" s="6"/>
    </row>
    <row r="90" spans="2:7" x14ac:dyDescent="0.2">
      <c r="D90" s="6"/>
    </row>
    <row r="91" spans="2:7" x14ac:dyDescent="0.2">
      <c r="D91" s="6"/>
    </row>
    <row r="92" spans="2:7" x14ac:dyDescent="0.2">
      <c r="D92" s="6"/>
    </row>
    <row r="93" spans="2:7" x14ac:dyDescent="0.2">
      <c r="D93" s="6"/>
    </row>
    <row r="94" spans="2:7" x14ac:dyDescent="0.2">
      <c r="D94" s="6"/>
    </row>
    <row r="95" spans="2:7" x14ac:dyDescent="0.2">
      <c r="D95" s="6"/>
    </row>
    <row r="96" spans="2:7" x14ac:dyDescent="0.2">
      <c r="D96" s="6"/>
    </row>
    <row r="97" spans="4:4" x14ac:dyDescent="0.2">
      <c r="D97" s="6"/>
    </row>
    <row r="98" spans="4:4" x14ac:dyDescent="0.2">
      <c r="D98" s="6"/>
    </row>
    <row r="99" spans="4:4" x14ac:dyDescent="0.2">
      <c r="D99" s="6"/>
    </row>
    <row r="100" spans="4:4" x14ac:dyDescent="0.2">
      <c r="D100" s="6"/>
    </row>
    <row r="101" spans="4:4" x14ac:dyDescent="0.2">
      <c r="D101" s="6"/>
    </row>
    <row r="102" spans="4:4" x14ac:dyDescent="0.2">
      <c r="D102" s="6"/>
    </row>
    <row r="103" spans="4:4" x14ac:dyDescent="0.2">
      <c r="D103" s="6"/>
    </row>
    <row r="104" spans="4:4" x14ac:dyDescent="0.2">
      <c r="D104" s="6"/>
    </row>
    <row r="105" spans="4:4" x14ac:dyDescent="0.2">
      <c r="D105" s="6"/>
    </row>
    <row r="106" spans="4:4" x14ac:dyDescent="0.2">
      <c r="D106" s="6"/>
    </row>
    <row r="107" spans="4:4" x14ac:dyDescent="0.2">
      <c r="D107" s="6"/>
    </row>
    <row r="108" spans="4:4" x14ac:dyDescent="0.2">
      <c r="D108" s="6"/>
    </row>
    <row r="109" spans="4:4" x14ac:dyDescent="0.2">
      <c r="D109" s="6"/>
    </row>
    <row r="110" spans="4:4" x14ac:dyDescent="0.2">
      <c r="D110" s="6"/>
    </row>
    <row r="111" spans="4:4" x14ac:dyDescent="0.2">
      <c r="D111" s="6"/>
    </row>
    <row r="112" spans="4:4" x14ac:dyDescent="0.2">
      <c r="D112" s="6"/>
    </row>
    <row r="113" spans="4:4" x14ac:dyDescent="0.2">
      <c r="D113" s="6"/>
    </row>
    <row r="114" spans="4:4" x14ac:dyDescent="0.2">
      <c r="D114" s="6"/>
    </row>
    <row r="115" spans="4:4" x14ac:dyDescent="0.2">
      <c r="D115" s="6"/>
    </row>
    <row r="116" spans="4:4" x14ac:dyDescent="0.2">
      <c r="D116" s="6"/>
    </row>
    <row r="117" spans="4:4" x14ac:dyDescent="0.2">
      <c r="D117" s="6"/>
    </row>
    <row r="118" spans="4:4" x14ac:dyDescent="0.2">
      <c r="D118" s="6"/>
    </row>
    <row r="119" spans="4:4" x14ac:dyDescent="0.2">
      <c r="D119" s="6"/>
    </row>
    <row r="120" spans="4:4" x14ac:dyDescent="0.2">
      <c r="D120" s="6"/>
    </row>
    <row r="121" spans="4:4" x14ac:dyDescent="0.2">
      <c r="D121" s="6"/>
    </row>
    <row r="122" spans="4:4" x14ac:dyDescent="0.2">
      <c r="D122" s="6"/>
    </row>
    <row r="123" spans="4:4" x14ac:dyDescent="0.2">
      <c r="D123" s="6"/>
    </row>
    <row r="124" spans="4:4" x14ac:dyDescent="0.2">
      <c r="D124" s="6"/>
    </row>
    <row r="125" spans="4:4" x14ac:dyDescent="0.2">
      <c r="D125" s="6"/>
    </row>
    <row r="126" spans="4:4" x14ac:dyDescent="0.2">
      <c r="D126" s="6"/>
    </row>
    <row r="127" spans="4:4" x14ac:dyDescent="0.2">
      <c r="D127" s="6"/>
    </row>
    <row r="128" spans="4:4" x14ac:dyDescent="0.2">
      <c r="D128" s="6"/>
    </row>
    <row r="129" spans="4:4" x14ac:dyDescent="0.2">
      <c r="D129" s="6"/>
    </row>
  </sheetData>
  <autoFilter ref="B4:G4" xr:uid="{680AA243-33F3-441C-8EA2-94AF54D454E6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117"/>
  <sheetViews>
    <sheetView workbookViewId="0">
      <selection activeCell="H15" sqref="H15"/>
    </sheetView>
  </sheetViews>
  <sheetFormatPr defaultColWidth="9.140625" defaultRowHeight="12" x14ac:dyDescent="0.2"/>
  <cols>
    <col min="1" max="1" width="2" style="2" customWidth="1"/>
    <col min="2" max="2" width="21.7109375" style="2" customWidth="1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6.140625" style="2" bestFit="1" customWidth="1"/>
    <col min="8" max="8" width="17.28515625" style="2" bestFit="1" customWidth="1"/>
    <col min="9" max="16384" width="9.140625" style="2"/>
  </cols>
  <sheetData>
    <row r="1" spans="2:7" ht="15.75" x14ac:dyDescent="0.25">
      <c r="C1" s="3" t="s">
        <v>114</v>
      </c>
    </row>
    <row r="4" spans="2:7" x14ac:dyDescent="0.2">
      <c r="B4" s="2" t="s">
        <v>115</v>
      </c>
      <c r="C4" s="24" t="s">
        <v>99</v>
      </c>
      <c r="D4" s="24" t="s">
        <v>31</v>
      </c>
      <c r="E4" s="24" t="s">
        <v>100</v>
      </c>
      <c r="F4" s="24" t="s">
        <v>101</v>
      </c>
      <c r="G4" s="24" t="s">
        <v>102</v>
      </c>
    </row>
    <row r="5" spans="2:7" x14ac:dyDescent="0.2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2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2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2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2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2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2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2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2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2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2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2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2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2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2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2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2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2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2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2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2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2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2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2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2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2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2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2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2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2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2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2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2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2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2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2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2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2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2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2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2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2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2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2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2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2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2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2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2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2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2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2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2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2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2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2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2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2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2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2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2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2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2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2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2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2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2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2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2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2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2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2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2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2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2">
      <c r="D79" s="6"/>
    </row>
    <row r="80" spans="2:7" x14ac:dyDescent="0.2">
      <c r="D80" s="6"/>
    </row>
    <row r="81" spans="4:4" x14ac:dyDescent="0.2">
      <c r="D81" s="6"/>
    </row>
    <row r="82" spans="4:4" x14ac:dyDescent="0.2">
      <c r="D82" s="6"/>
    </row>
    <row r="83" spans="4:4" x14ac:dyDescent="0.2">
      <c r="D83" s="6"/>
    </row>
    <row r="84" spans="4:4" x14ac:dyDescent="0.2">
      <c r="D84" s="6"/>
    </row>
    <row r="85" spans="4:4" x14ac:dyDescent="0.2">
      <c r="D85" s="6"/>
    </row>
    <row r="86" spans="4:4" x14ac:dyDescent="0.2">
      <c r="D86" s="6"/>
    </row>
    <row r="87" spans="4:4" x14ac:dyDescent="0.2">
      <c r="D87" s="6"/>
    </row>
    <row r="88" spans="4:4" x14ac:dyDescent="0.2">
      <c r="D88" s="6"/>
    </row>
    <row r="89" spans="4:4" x14ac:dyDescent="0.2">
      <c r="D89" s="6"/>
    </row>
    <row r="90" spans="4:4" x14ac:dyDescent="0.2">
      <c r="D90" s="6"/>
    </row>
    <row r="91" spans="4:4" x14ac:dyDescent="0.2">
      <c r="D91" s="6"/>
    </row>
    <row r="92" spans="4:4" x14ac:dyDescent="0.2">
      <c r="D92" s="6"/>
    </row>
    <row r="93" spans="4:4" x14ac:dyDescent="0.2">
      <c r="D93" s="6"/>
    </row>
    <row r="94" spans="4:4" x14ac:dyDescent="0.2">
      <c r="D94" s="6"/>
    </row>
    <row r="95" spans="4:4" x14ac:dyDescent="0.2">
      <c r="D95" s="6"/>
    </row>
    <row r="96" spans="4:4" x14ac:dyDescent="0.2">
      <c r="D96" s="6"/>
    </row>
    <row r="97" spans="4:4" x14ac:dyDescent="0.2">
      <c r="D97" s="6"/>
    </row>
    <row r="98" spans="4:4" x14ac:dyDescent="0.2">
      <c r="D98" s="6"/>
    </row>
    <row r="99" spans="4:4" x14ac:dyDescent="0.2">
      <c r="D99" s="6"/>
    </row>
    <row r="100" spans="4:4" x14ac:dyDescent="0.2">
      <c r="D100" s="6"/>
    </row>
    <row r="101" spans="4:4" x14ac:dyDescent="0.2">
      <c r="D101" s="6"/>
    </row>
    <row r="102" spans="4:4" x14ac:dyDescent="0.2">
      <c r="D102" s="6"/>
    </row>
    <row r="103" spans="4:4" x14ac:dyDescent="0.2">
      <c r="D103" s="6"/>
    </row>
    <row r="104" spans="4:4" x14ac:dyDescent="0.2">
      <c r="D104" s="6"/>
    </row>
    <row r="105" spans="4:4" x14ac:dyDescent="0.2">
      <c r="D105" s="6"/>
    </row>
    <row r="106" spans="4:4" x14ac:dyDescent="0.2">
      <c r="D106" s="6"/>
    </row>
    <row r="107" spans="4:4" x14ac:dyDescent="0.2">
      <c r="D107" s="6"/>
    </row>
    <row r="108" spans="4:4" x14ac:dyDescent="0.2">
      <c r="D108" s="6"/>
    </row>
    <row r="109" spans="4:4" x14ac:dyDescent="0.2">
      <c r="D109" s="6"/>
    </row>
    <row r="110" spans="4:4" x14ac:dyDescent="0.2">
      <c r="D110" s="6"/>
    </row>
    <row r="111" spans="4:4" x14ac:dyDescent="0.2">
      <c r="D111" s="6"/>
    </row>
    <row r="112" spans="4:4" x14ac:dyDescent="0.2">
      <c r="D112" s="6"/>
    </row>
    <row r="113" spans="4:4" x14ac:dyDescent="0.2">
      <c r="D113" s="6"/>
    </row>
    <row r="114" spans="4:4" x14ac:dyDescent="0.2">
      <c r="D114" s="6"/>
    </row>
    <row r="115" spans="4:4" x14ac:dyDescent="0.2">
      <c r="D115" s="6"/>
    </row>
    <row r="116" spans="4:4" x14ac:dyDescent="0.2">
      <c r="D116" s="6"/>
    </row>
    <row r="117" spans="4:4" x14ac:dyDescent="0.2">
      <c r="D117" s="6"/>
    </row>
  </sheetData>
  <autoFilter ref="B4:G4" xr:uid="{D5C99787-757C-4700-B9D4-41D8823B1D2E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6"/>
  <sheetViews>
    <sheetView tabSelected="1" workbookViewId="0">
      <selection activeCell="F18" sqref="F18"/>
    </sheetView>
  </sheetViews>
  <sheetFormatPr defaultColWidth="9.140625" defaultRowHeight="12" x14ac:dyDescent="0.2"/>
  <cols>
    <col min="1" max="1" width="2" style="2" customWidth="1"/>
    <col min="2" max="2" width="17.7109375" style="2" customWidth="1"/>
    <col min="3" max="3" width="27.42578125" style="2" bestFit="1" customWidth="1"/>
    <col min="4" max="4" width="20.5703125" style="2" bestFit="1" customWidth="1"/>
    <col min="5" max="5" width="29.5703125" style="2" bestFit="1" customWidth="1"/>
    <col min="6" max="6" width="11" style="2" bestFit="1" customWidth="1"/>
    <col min="7" max="7" width="11.5703125" style="2" bestFit="1" customWidth="1"/>
    <col min="8" max="8" width="12" style="2" bestFit="1" customWidth="1"/>
    <col min="9" max="16384" width="9.140625" style="2"/>
  </cols>
  <sheetData>
    <row r="1" spans="2:8" ht="15.75" x14ac:dyDescent="0.25">
      <c r="B1" s="3" t="s">
        <v>56</v>
      </c>
    </row>
    <row r="2" spans="2:8" ht="15.75" x14ac:dyDescent="0.25">
      <c r="B2" s="3"/>
    </row>
    <row r="3" spans="2:8" ht="15" x14ac:dyDescent="0.25">
      <c r="B3" s="29" t="s">
        <v>115</v>
      </c>
      <c r="C3" s="29" t="s">
        <v>99</v>
      </c>
      <c r="D3" s="29" t="s">
        <v>31</v>
      </c>
      <c r="E3" s="29" t="s">
        <v>100</v>
      </c>
      <c r="F3" s="29" t="s">
        <v>221</v>
      </c>
      <c r="G3" s="29" t="s">
        <v>222</v>
      </c>
      <c r="H3" s="29" t="s">
        <v>223</v>
      </c>
    </row>
    <row r="4" spans="2:8" x14ac:dyDescent="0.2">
      <c r="B4" s="2" t="s">
        <v>116</v>
      </c>
      <c r="C4" s="2" t="str">
        <f>VLOOKUP($B4,'1.1 FY2016'!$B$5:$E$61,2,FALSE)</f>
        <v>Core business revenues</v>
      </c>
      <c r="D4" s="30">
        <f>VLOOKUP($B4,'1.1 FY2016'!$B$5:$E$61,3,FALSE)</f>
        <v>111111</v>
      </c>
      <c r="E4" s="2" t="str">
        <f>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</row>
    <row r="5" spans="2:8" x14ac:dyDescent="0.2">
      <c r="B5" s="2" t="s">
        <v>117</v>
      </c>
      <c r="C5" s="2" t="str">
        <f>VLOOKUP($B5,'1.1 FY2016'!$B$5:$E$61,2,FALSE)</f>
        <v>Other revenues</v>
      </c>
      <c r="D5" s="30">
        <f>VLOOKUP($B5,'1.1 FY2016'!$B$5:$E$61,3,FALSE)</f>
        <v>111111</v>
      </c>
      <c r="E5" s="2" t="str">
        <f>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</row>
    <row r="6" spans="2:8" x14ac:dyDescent="0.2">
      <c r="B6" s="2" t="s">
        <v>118</v>
      </c>
      <c r="C6" s="2" t="str">
        <f>VLOOKUP($B6,'1.1 FY2016'!$B$5:$E$61,2,FALSE)</f>
        <v>Capitalized costs</v>
      </c>
      <c r="D6" s="30">
        <f>VLOOKUP($B6,'1.1 FY2016'!$B$5:$E$61,3,FALSE)</f>
        <v>1009</v>
      </c>
      <c r="E6" s="2" t="str">
        <f>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</row>
    <row r="7" spans="2:8" x14ac:dyDescent="0.2">
      <c r="B7" s="2" t="s">
        <v>119</v>
      </c>
      <c r="C7" s="2" t="str">
        <f>VLOOKUP($B7,'1.1 FY2016'!$B$5:$E$61,2,FALSE)</f>
        <v>Capitalized costs</v>
      </c>
      <c r="D7" s="30">
        <f>VLOOKUP($B7,'1.1 FY2016'!$B$5:$E$61,3,FALSE)</f>
        <v>1007</v>
      </c>
      <c r="E7" s="2" t="str">
        <f>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</row>
    <row r="8" spans="2:8" x14ac:dyDescent="0.2">
      <c r="B8" s="2" t="s">
        <v>120</v>
      </c>
      <c r="C8" s="2" t="str">
        <f>VLOOKUP($B8,'1.1 FY2016'!$B$5:$E$61,2,FALSE)</f>
        <v>Capitalized costs</v>
      </c>
      <c r="D8" s="30">
        <f>VLOOKUP($B8,'1.1 FY2016'!$B$5:$E$61,3,FALSE)</f>
        <v>1008</v>
      </c>
      <c r="E8" s="2" t="str">
        <f>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</row>
    <row r="9" spans="2:8" x14ac:dyDescent="0.2">
      <c r="B9" s="2" t="s">
        <v>121</v>
      </c>
      <c r="C9" s="2" t="str">
        <f>VLOOKUP($B9,'1.1 FY2016'!$B$5:$E$61,2,FALSE)</f>
        <v>Capitalized costs</v>
      </c>
      <c r="D9" s="30">
        <f>VLOOKUP($B9,'1.1 FY2016'!$B$5:$E$61,3,FALSE)</f>
        <v>111101</v>
      </c>
      <c r="E9" s="2" t="str">
        <f>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</row>
    <row r="10" spans="2:8" x14ac:dyDescent="0.2">
      <c r="B10" s="2" t="s">
        <v>122</v>
      </c>
      <c r="C10" s="2" t="str">
        <f>VLOOKUP($B10,'1.1 FY2016'!$B$5:$E$61,2,FALSE)</f>
        <v>Direct costs</v>
      </c>
      <c r="D10" s="30">
        <f>VLOOKUP($B10,'1.1 FY2016'!$B$5:$E$61,3,FALSE)</f>
        <v>111111</v>
      </c>
      <c r="E10" s="2" t="str">
        <f>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</row>
    <row r="11" spans="2:8" x14ac:dyDescent="0.2">
      <c r="B11" s="2" t="s">
        <v>123</v>
      </c>
      <c r="C11" s="2" t="str">
        <f>VLOOKUP($B11,'1.1 FY2016'!$B$5:$E$61,2,FALSE)</f>
        <v>Freight outbound expenses</v>
      </c>
      <c r="D11" s="30">
        <f>VLOOKUP($B11,'1.1 FY2016'!$B$5:$E$61,3,FALSE)</f>
        <v>111111</v>
      </c>
      <c r="E11" s="2" t="str">
        <f>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</row>
    <row r="12" spans="2:8" x14ac:dyDescent="0.2">
      <c r="B12" s="2" t="s">
        <v>124</v>
      </c>
      <c r="C12" s="2" t="str">
        <f>VLOOKUP($B12,'1.1 FY2016'!$B$5:$E$61,2,FALSE)</f>
        <v>R&amp;D expenses</v>
      </c>
      <c r="D12" s="30">
        <f>VLOOKUP($B12,'1.1 FY2016'!$B$5:$E$61,3,FALSE)</f>
        <v>88</v>
      </c>
      <c r="E12" s="2" t="str">
        <f>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</row>
    <row r="13" spans="2:8" x14ac:dyDescent="0.2">
      <c r="B13" s="2" t="s">
        <v>125</v>
      </c>
      <c r="C13" s="2" t="str">
        <f>VLOOKUP($B13,'1.1 FY2016'!$B$5:$E$61,2,FALSE)</f>
        <v>R&amp;D expenses</v>
      </c>
      <c r="D13" s="30">
        <f>VLOOKUP($B13,'1.1 FY2016'!$B$5:$E$61,3,FALSE)</f>
        <v>111111</v>
      </c>
      <c r="E13" s="2" t="str">
        <f>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</row>
    <row r="14" spans="2:8" x14ac:dyDescent="0.2">
      <c r="B14" s="2" t="s">
        <v>126</v>
      </c>
      <c r="C14" s="2" t="str">
        <f>VLOOKUP($B14,'1.1 FY2016'!$B$5:$E$61,2,FALSE)</f>
        <v>Wages and salaries</v>
      </c>
      <c r="D14" s="30">
        <f>VLOOKUP($B14,'1.1 FY2016'!$B$5:$E$61,3,FALSE)</f>
        <v>111111</v>
      </c>
      <c r="E14" s="2" t="str">
        <f>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</row>
    <row r="15" spans="2:8" x14ac:dyDescent="0.2">
      <c r="B15" s="2" t="s">
        <v>127</v>
      </c>
      <c r="C15" s="2" t="str">
        <f>VLOOKUP($B15,'1.1 FY2016'!$B$5:$E$61,2,FALSE)</f>
        <v>Pension contributions</v>
      </c>
      <c r="D15" s="30">
        <f>VLOOKUP($B15,'1.1 FY2016'!$B$5:$E$61,3,FALSE)</f>
        <v>111101</v>
      </c>
      <c r="E15" s="2" t="str">
        <f>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</row>
    <row r="16" spans="2:8" x14ac:dyDescent="0.2">
      <c r="B16" s="2" t="s">
        <v>128</v>
      </c>
      <c r="C16" s="2" t="str">
        <f>VLOOKUP($B16,'1.1 FY2016'!$B$5:$E$61,2,FALSE)</f>
        <v>Pension contributions</v>
      </c>
      <c r="D16" s="30">
        <f>VLOOKUP($B16,'1.1 FY2016'!$B$5:$E$61,3,FALSE)</f>
        <v>88</v>
      </c>
      <c r="E16" s="2" t="str">
        <f>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</row>
    <row r="17" spans="2:8" x14ac:dyDescent="0.2">
      <c r="B17" s="2" t="s">
        <v>129</v>
      </c>
      <c r="C17" s="2" t="str">
        <f>VLOOKUP($B17,'1.1 FY2016'!$B$5:$E$61,2,FALSE)</f>
        <v>Severance indemnity contribution</v>
      </c>
      <c r="D17" s="30">
        <f>VLOOKUP($B17,'1.1 FY2016'!$B$5:$E$61,3,FALSE)</f>
        <v>111101</v>
      </c>
      <c r="E17" s="2" t="str">
        <f>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</row>
    <row r="18" spans="2:8" x14ac:dyDescent="0.2">
      <c r="B18" s="2" t="s">
        <v>130</v>
      </c>
      <c r="C18" s="2" t="str">
        <f>VLOOKUP($B18,'1.1 FY2016'!$B$5:$E$61,2,FALSE)</f>
        <v>D&amp;A</v>
      </c>
      <c r="D18" s="30">
        <f>VLOOKUP($B18,'1.1 FY2016'!$B$5:$E$61,3,FALSE)</f>
        <v>111101</v>
      </c>
      <c r="E18" s="2" t="str">
        <f>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</row>
    <row r="19" spans="2:8" x14ac:dyDescent="0.2">
      <c r="B19" s="2" t="s">
        <v>131</v>
      </c>
      <c r="C19" s="2" t="str">
        <f>VLOOKUP($B19,'1.1 FY2016'!$B$5:$E$61,2,FALSE)</f>
        <v>D&amp;A</v>
      </c>
      <c r="D19" s="30">
        <f>VLOOKUP($B19,'1.1 FY2016'!$B$5:$E$61,3,FALSE)</f>
        <v>1</v>
      </c>
      <c r="E19" s="2" t="str">
        <f>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</row>
    <row r="20" spans="2:8" x14ac:dyDescent="0.2">
      <c r="B20" s="2" t="s">
        <v>132</v>
      </c>
      <c r="C20" s="2" t="str">
        <f>VLOOKUP($B20,'1.1 FY2016'!$B$5:$E$61,2,FALSE)</f>
        <v>Corporate recharges</v>
      </c>
      <c r="D20" s="30" t="str">
        <f>VLOOKUP($B20,'1.1 FY2016'!$B$5:$E$61,3,FALSE)</f>
        <v>1</v>
      </c>
      <c r="E20" s="2" t="str">
        <f>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</row>
    <row r="21" spans="2:8" x14ac:dyDescent="0.2">
      <c r="B21" s="2" t="s">
        <v>133</v>
      </c>
      <c r="C21" s="2" t="str">
        <f>VLOOKUP($B21,'1.1 FY2016'!$B$5:$E$61,2,FALSE)</f>
        <v>Corporate recharges</v>
      </c>
      <c r="D21" s="30">
        <f>VLOOKUP($B21,'1.1 FY2016'!$B$5:$E$61,3,FALSE)</f>
        <v>14</v>
      </c>
      <c r="E21" s="2" t="str">
        <f>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</row>
    <row r="22" spans="2:8" x14ac:dyDescent="0.2">
      <c r="B22" s="2" t="s">
        <v>134</v>
      </c>
      <c r="C22" s="2" t="str">
        <f>VLOOKUP($B22,'1.1 FY2016'!$B$5:$E$61,2,FALSE)</f>
        <v>Corporate recharges</v>
      </c>
      <c r="D22" s="30">
        <f>VLOOKUP($B22,'1.1 FY2016'!$B$5:$E$61,3,FALSE)</f>
        <v>1037</v>
      </c>
      <c r="E22" s="2" t="str">
        <f>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</row>
    <row r="23" spans="2:8" x14ac:dyDescent="0.2">
      <c r="B23" s="2" t="s">
        <v>135</v>
      </c>
      <c r="C23" s="2" t="str">
        <f>VLOOKUP($B23,'1.1 FY2016'!$B$5:$E$61,2,FALSE)</f>
        <v>Corporate recharges</v>
      </c>
      <c r="D23" s="30" t="str">
        <f>VLOOKUP($B23,'1.1 FY2016'!$B$5:$E$61,3,FALSE)</f>
        <v>1087</v>
      </c>
      <c r="E23" s="2" t="str">
        <f>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</row>
    <row r="24" spans="2:8" x14ac:dyDescent="0.2">
      <c r="B24" s="2" t="s">
        <v>136</v>
      </c>
      <c r="C24" s="2" t="str">
        <f>VLOOKUP($B24,'1.1 FY2016'!$B$5:$E$61,2,FALSE)</f>
        <v>Corporate recharges</v>
      </c>
      <c r="D24" s="30">
        <f>VLOOKUP($B24,'1.1 FY2016'!$B$5:$E$61,3,FALSE)</f>
        <v>1009</v>
      </c>
      <c r="E24" s="2" t="str">
        <f>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</row>
    <row r="25" spans="2:8" x14ac:dyDescent="0.2">
      <c r="B25" s="2" t="s">
        <v>137</v>
      </c>
      <c r="C25" s="2" t="str">
        <f>VLOOKUP($B25,'1.1 FY2016'!$B$5:$E$61,2,FALSE)</f>
        <v>Corporate recharges</v>
      </c>
      <c r="D25" s="30">
        <f>VLOOKUP($B25,'1.1 FY2016'!$B$5:$E$61,3,FALSE)</f>
        <v>1007</v>
      </c>
      <c r="E25" s="2" t="str">
        <f>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</row>
    <row r="26" spans="2:8" x14ac:dyDescent="0.2">
      <c r="B26" s="2" t="s">
        <v>138</v>
      </c>
      <c r="C26" s="2" t="str">
        <f>VLOOKUP($B26,'1.1 FY2016'!$B$5:$E$61,2,FALSE)</f>
        <v>Corporate recharges</v>
      </c>
      <c r="D26" s="30">
        <f>VLOOKUP($B26,'1.1 FY2016'!$B$5:$E$61,3,FALSE)</f>
        <v>1008</v>
      </c>
      <c r="E26" s="2" t="str">
        <f>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</row>
    <row r="27" spans="2:8" x14ac:dyDescent="0.2">
      <c r="B27" s="2" t="s">
        <v>139</v>
      </c>
      <c r="C27" s="2" t="str">
        <f>VLOOKUP($B27,'1.1 FY2016'!$B$5:$E$61,2,FALSE)</f>
        <v>Corporate recharges</v>
      </c>
      <c r="D27" s="30">
        <f>VLOOKUP($B27,'1.1 FY2016'!$B$5:$E$61,3,FALSE)</f>
        <v>1240</v>
      </c>
      <c r="E27" s="2" t="str">
        <f>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</row>
    <row r="28" spans="2:8" x14ac:dyDescent="0.2">
      <c r="B28" s="2" t="s">
        <v>140</v>
      </c>
      <c r="C28" s="2" t="str">
        <f>VLOOKUP($B28,'1.1 FY2016'!$B$5:$E$61,2,FALSE)</f>
        <v>Corporate recharges</v>
      </c>
      <c r="D28" s="30">
        <f>VLOOKUP($B28,'1.1 FY2016'!$B$5:$E$61,3,FALSE)</f>
        <v>111111</v>
      </c>
      <c r="E28" s="2" t="str">
        <f>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</row>
    <row r="29" spans="2:8" x14ac:dyDescent="0.2">
      <c r="B29" s="2" t="s">
        <v>141</v>
      </c>
      <c r="C29" s="2" t="str">
        <f>VLOOKUP($B29,'1.1 FY2016'!$B$5:$E$61,2,FALSE)</f>
        <v>Other income</v>
      </c>
      <c r="D29" s="30">
        <f>VLOOKUP($B29,'1.1 FY2016'!$B$5:$E$61,3,FALSE)</f>
        <v>111111</v>
      </c>
      <c r="E29" s="2" t="str">
        <f>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</row>
    <row r="30" spans="2:8" x14ac:dyDescent="0.2">
      <c r="B30" s="2" t="s">
        <v>142</v>
      </c>
      <c r="C30" s="2" t="str">
        <f>VLOOKUP($B30,'1.1 FY2016'!$B$5:$E$61,2,FALSE)</f>
        <v>Marketing expenses</v>
      </c>
      <c r="D30" s="30">
        <f>VLOOKUP($B30,'1.1 FY2016'!$B$5:$E$61,3,FALSE)</f>
        <v>111111</v>
      </c>
      <c r="E30" s="2" t="str">
        <f>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</row>
    <row r="31" spans="2:8" x14ac:dyDescent="0.2">
      <c r="B31" s="2" t="s">
        <v>143</v>
      </c>
      <c r="C31" s="2" t="str">
        <f>VLOOKUP($B31,'1.1 FY2016'!$B$5:$E$61,2,FALSE)</f>
        <v>Software&amp;IT</v>
      </c>
      <c r="D31" s="30">
        <f>VLOOKUP($B31,'1.1 FY2016'!$B$5:$E$61,3,FALSE)</f>
        <v>88</v>
      </c>
      <c r="E31" s="2" t="str">
        <f>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</row>
    <row r="32" spans="2:8" x14ac:dyDescent="0.2">
      <c r="B32" s="2" t="s">
        <v>144</v>
      </c>
      <c r="C32" s="2" t="str">
        <f>VLOOKUP($B32,'1.1 FY2016'!$B$5:$E$61,2,FALSE)</f>
        <v>Software&amp;IT</v>
      </c>
      <c r="D32" s="30">
        <f>VLOOKUP($B32,'1.1 FY2016'!$B$5:$E$61,3,FALSE)</f>
        <v>111111</v>
      </c>
      <c r="E32" s="2" t="str">
        <f>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</row>
    <row r="33" spans="2:8" x14ac:dyDescent="0.2">
      <c r="B33" s="2" t="s">
        <v>145</v>
      </c>
      <c r="C33" s="2" t="str">
        <f>VLOOKUP($B33,'1.1 FY2016'!$B$5:$E$61,2,FALSE)</f>
        <v>Leasings</v>
      </c>
      <c r="D33" s="30">
        <f>VLOOKUP($B33,'1.1 FY2016'!$B$5:$E$61,3,FALSE)</f>
        <v>111111</v>
      </c>
      <c r="E33" s="2" t="str">
        <f>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</row>
    <row r="34" spans="2:8" x14ac:dyDescent="0.2">
      <c r="B34" s="2" t="s">
        <v>146</v>
      </c>
      <c r="C34" s="2" t="str">
        <f>VLOOKUP($B34,'1.1 FY2016'!$B$5:$E$61,2,FALSE)</f>
        <v>Service expenses</v>
      </c>
      <c r="D34" s="30" t="str">
        <f>VLOOKUP($B34,'1.1 FY2016'!$B$5:$E$61,3,FALSE)</f>
        <v>43</v>
      </c>
      <c r="E34" s="2" t="str">
        <f>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</row>
    <row r="35" spans="2:8" x14ac:dyDescent="0.2">
      <c r="B35" s="2" t="s">
        <v>147</v>
      </c>
      <c r="C35" s="2" t="str">
        <f>VLOOKUP($B35,'1.1 FY2016'!$B$5:$E$61,2,FALSE)</f>
        <v>Service expenses</v>
      </c>
      <c r="D35" s="30" t="str">
        <f>VLOOKUP($B35,'1.1 FY2016'!$B$5:$E$61,3,FALSE)</f>
        <v>2240</v>
      </c>
      <c r="E35" s="2" t="str">
        <f>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</row>
    <row r="36" spans="2:8" x14ac:dyDescent="0.2">
      <c r="B36" s="2" t="s">
        <v>148</v>
      </c>
      <c r="C36" s="2" t="str">
        <f>VLOOKUP($B36,'1.1 FY2016'!$B$5:$E$61,2,FALSE)</f>
        <v>Service expenses</v>
      </c>
      <c r="D36" s="30">
        <f>VLOOKUP($B36,'1.1 FY2016'!$B$5:$E$61,3,FALSE)</f>
        <v>111111</v>
      </c>
      <c r="E36" s="2" t="str">
        <f>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</row>
    <row r="37" spans="2:8" x14ac:dyDescent="0.2">
      <c r="B37" s="2" t="s">
        <v>149</v>
      </c>
      <c r="C37" s="2" t="str">
        <f>VLOOKUP($B37,'1.1 FY2016'!$B$5:$E$61,2,FALSE)</f>
        <v>Charges and contributions</v>
      </c>
      <c r="D37" s="30">
        <f>VLOOKUP($B37,'1.1 FY2016'!$B$5:$E$61,3,FALSE)</f>
        <v>111111</v>
      </c>
      <c r="E37" s="2" t="str">
        <f>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</row>
    <row r="38" spans="2:8" x14ac:dyDescent="0.2">
      <c r="B38" s="2" t="s">
        <v>150</v>
      </c>
      <c r="C38" s="2" t="str">
        <f>VLOOKUP($B38,'1.1 FY2016'!$B$5:$E$61,2,FALSE)</f>
        <v>Insurance expenses</v>
      </c>
      <c r="D38" s="30">
        <f>VLOOKUP($B38,'1.1 FY2016'!$B$5:$E$61,3,FALSE)</f>
        <v>111111</v>
      </c>
      <c r="E38" s="2" t="str">
        <f>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</row>
    <row r="39" spans="2:8" x14ac:dyDescent="0.2">
      <c r="B39" s="2" t="s">
        <v>151</v>
      </c>
      <c r="C39" s="2" t="str">
        <f>VLOOKUP($B39,'1.1 FY2016'!$B$5:$E$61,2,FALSE)</f>
        <v>Travel expenses</v>
      </c>
      <c r="D39" s="30">
        <f>VLOOKUP($B39,'1.1 FY2016'!$B$5:$E$61,3,FALSE)</f>
        <v>111111</v>
      </c>
      <c r="E39" s="2" t="str">
        <f>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</row>
    <row r="40" spans="2:8" x14ac:dyDescent="0.2">
      <c r="B40" s="2" t="s">
        <v>152</v>
      </c>
      <c r="C40" s="2" t="str">
        <f>VLOOKUP($B40,'1.1 FY2016'!$B$5:$E$61,2,FALSE)</f>
        <v>Utility expenses</v>
      </c>
      <c r="D40" s="30">
        <f>VLOOKUP($B40,'1.1 FY2016'!$B$5:$E$61,3,FALSE)</f>
        <v>111111</v>
      </c>
      <c r="E40" s="2" t="str">
        <f>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</row>
    <row r="41" spans="2:8" x14ac:dyDescent="0.2">
      <c r="B41" s="2" t="s">
        <v>153</v>
      </c>
      <c r="C41" s="2" t="str">
        <f>VLOOKUP($B41,'1.1 FY2016'!$B$5:$E$61,2,FALSE)</f>
        <v>Legal expenses</v>
      </c>
      <c r="D41" s="30">
        <f>VLOOKUP($B41,'1.1 FY2016'!$B$5:$E$61,3,FALSE)</f>
        <v>111111</v>
      </c>
      <c r="E41" s="2" t="str">
        <f>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</row>
    <row r="42" spans="2:8" x14ac:dyDescent="0.2">
      <c r="B42" s="2" t="s">
        <v>154</v>
      </c>
      <c r="C42" s="2" t="str">
        <f>VLOOKUP($B42,'1.1 FY2016'!$B$5:$E$61,2,FALSE)</f>
        <v>Misc costs</v>
      </c>
      <c r="D42" s="30">
        <f>VLOOKUP($B42,'1.1 FY2016'!$B$5:$E$61,3,FALSE)</f>
        <v>111101</v>
      </c>
      <c r="E42" s="2" t="str">
        <f>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</row>
    <row r="43" spans="2:8" x14ac:dyDescent="0.2">
      <c r="B43" s="2" t="s">
        <v>155</v>
      </c>
      <c r="C43" s="2" t="str">
        <f>VLOOKUP($B43,'1.1 FY2016'!$B$5:$E$61,2,FALSE)</f>
        <v>Consulting fees</v>
      </c>
      <c r="D43" s="30">
        <f>VLOOKUP($B43,'1.1 FY2016'!$B$5:$E$61,3,FALSE)</f>
        <v>111111</v>
      </c>
      <c r="E43" s="2" t="str">
        <f>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</row>
    <row r="44" spans="2:8" x14ac:dyDescent="0.2">
      <c r="B44" s="2" t="s">
        <v>156</v>
      </c>
      <c r="C44" s="2" t="str">
        <f>VLOOKUP($B44,'1.1 FY2016'!$B$5:$E$61,2,FALSE)</f>
        <v>Misc extraordinary expenses</v>
      </c>
      <c r="D44" s="30">
        <f>VLOOKUP($B44,'1.1 FY2016'!$B$5:$E$61,3,FALSE)</f>
        <v>105</v>
      </c>
      <c r="E44" s="2" t="str">
        <f>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</row>
    <row r="45" spans="2:8" x14ac:dyDescent="0.2">
      <c r="B45" s="2" t="s">
        <v>157</v>
      </c>
      <c r="C45" s="2" t="str">
        <f>VLOOKUP($B45,'1.1 FY2016'!$B$5:$E$61,2,FALSE)</f>
        <v>Misc extraordinary expenses</v>
      </c>
      <c r="D45" s="30">
        <f>VLOOKUP($B45,'1.1 FY2016'!$B$5:$E$61,3,FALSE)</f>
        <v>111111</v>
      </c>
      <c r="E45" s="2" t="str">
        <f>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</row>
    <row r="46" spans="2:8" x14ac:dyDescent="0.2">
      <c r="B46" s="2" t="s">
        <v>158</v>
      </c>
      <c r="C46" s="2" t="str">
        <f>VLOOKUP($B46,'1.1 FY2016'!$B$5:$E$61,2,FALSE)</f>
        <v>Difference from eliminations</v>
      </c>
      <c r="D46" s="30">
        <f>VLOOKUP($B46,'1.1 FY2016'!$B$5:$E$61,3,FALSE)</f>
        <v>1009</v>
      </c>
      <c r="E46" s="2" t="str">
        <f>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8" x14ac:dyDescent="0.2">
      <c r="B47" s="2" t="s">
        <v>159</v>
      </c>
      <c r="C47" s="2" t="str">
        <f>VLOOKUP($B47,'1.1 FY2016'!$B$5:$E$61,2,FALSE)</f>
        <v>Difference from eliminations</v>
      </c>
      <c r="D47" s="30">
        <f>VLOOKUP($B47,'1.1 FY2016'!$B$5:$E$61,3,FALSE)</f>
        <v>1007</v>
      </c>
      <c r="E47" s="2" t="str">
        <f>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8" x14ac:dyDescent="0.2">
      <c r="B48" s="2" t="s">
        <v>160</v>
      </c>
      <c r="C48" s="2" t="str">
        <f>VLOOKUP($B48,'1.1 FY2016'!$B$5:$E$61,2,FALSE)</f>
        <v>Difference from eliminations</v>
      </c>
      <c r="D48" s="30">
        <f>VLOOKUP($B48,'1.1 FY2016'!$B$5:$E$61,3,FALSE)</f>
        <v>1008</v>
      </c>
      <c r="E48" s="2" t="str">
        <f>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8" x14ac:dyDescent="0.2">
      <c r="B49" s="2" t="s">
        <v>161</v>
      </c>
      <c r="C49" s="2" t="str">
        <f>VLOOKUP($B49,'1.1 FY2016'!$B$5:$E$61,2,FALSE)</f>
        <v>Interest income</v>
      </c>
      <c r="D49" s="30">
        <f>VLOOKUP($B49,'1.1 FY2016'!$B$5:$E$61,3,FALSE)</f>
        <v>1009</v>
      </c>
      <c r="E49" s="2" t="str">
        <f>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</row>
    <row r="50" spans="2:8" x14ac:dyDescent="0.2">
      <c r="B50" s="2" t="s">
        <v>162</v>
      </c>
      <c r="C50" s="2" t="str">
        <f>VLOOKUP($B50,'1.1 FY2016'!$B$5:$E$61,2,FALSE)</f>
        <v>Interest income</v>
      </c>
      <c r="D50" s="30">
        <f>VLOOKUP($B50,'1.1 FY2016'!$B$5:$E$61,3,FALSE)</f>
        <v>1007</v>
      </c>
      <c r="E50" s="2" t="str">
        <f>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</row>
    <row r="51" spans="2:8" x14ac:dyDescent="0.2">
      <c r="B51" s="2" t="s">
        <v>163</v>
      </c>
      <c r="C51" s="2" t="str">
        <f>VLOOKUP($B51,'1.1 FY2016'!$B$5:$E$61,2,FALSE)</f>
        <v>Interest income</v>
      </c>
      <c r="D51" s="30">
        <f>VLOOKUP($B51,'1.1 FY2016'!$B$5:$E$61,3,FALSE)</f>
        <v>1008</v>
      </c>
      <c r="E51" s="2" t="str">
        <f>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</row>
    <row r="52" spans="2:8" x14ac:dyDescent="0.2">
      <c r="B52" s="2" t="s">
        <v>164</v>
      </c>
      <c r="C52" s="2" t="str">
        <f>VLOOKUP($B52,'1.1 FY2016'!$B$5:$E$61,2,FALSE)</f>
        <v>Interest income</v>
      </c>
      <c r="D52" s="30">
        <f>VLOOKUP($B52,'1.1 FY2016'!$B$5:$E$61,3,FALSE)</f>
        <v>1240</v>
      </c>
      <c r="E52" s="2" t="str">
        <f>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</row>
    <row r="53" spans="2:8" x14ac:dyDescent="0.2">
      <c r="B53" s="2" t="s">
        <v>165</v>
      </c>
      <c r="C53" s="2" t="str">
        <f>VLOOKUP($B53,'1.1 FY2016'!$B$5:$E$61,2,FALSE)</f>
        <v>Interest income</v>
      </c>
      <c r="D53" s="30">
        <f>VLOOKUP($B53,'1.1 FY2016'!$B$5:$E$61,3,FALSE)</f>
        <v>111111</v>
      </c>
      <c r="E53" s="2" t="str">
        <f>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</row>
    <row r="54" spans="2:8" x14ac:dyDescent="0.2">
      <c r="B54" s="2" t="s">
        <v>166</v>
      </c>
      <c r="C54" s="2" t="str">
        <f>VLOOKUP($B54,'1.1 FY2016'!$B$5:$E$61,2,FALSE)</f>
        <v>Capitalized interest</v>
      </c>
      <c r="D54" s="30">
        <f>VLOOKUP($B54,'1.1 FY2016'!$B$5:$E$61,3,FALSE)</f>
        <v>111101</v>
      </c>
      <c r="E54" s="2" t="str">
        <f>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</row>
    <row r="55" spans="2:8" x14ac:dyDescent="0.2">
      <c r="B55" s="2" t="s">
        <v>167</v>
      </c>
      <c r="C55" s="2" t="str">
        <f>VLOOKUP($B55,'1.1 FY2016'!$B$5:$E$61,2,FALSE)</f>
        <v>Non-recurring costs</v>
      </c>
      <c r="D55" s="30">
        <f>VLOOKUP($B55,'1.1 FY2016'!$B$5:$E$61,3,FALSE)</f>
        <v>111101</v>
      </c>
      <c r="E55" s="2" t="str">
        <f>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</row>
    <row r="56" spans="2:8" x14ac:dyDescent="0.2">
      <c r="B56" s="2" t="s">
        <v>168</v>
      </c>
      <c r="C56" s="2" t="str">
        <f>VLOOKUP($B56,'1.1 FY2016'!$B$5:$E$61,2,FALSE)</f>
        <v>Interest expenses</v>
      </c>
      <c r="D56" s="30">
        <f>VLOOKUP($B56,'1.1 FY2016'!$B$5:$E$61,3,FALSE)</f>
        <v>88</v>
      </c>
      <c r="E56" s="2" t="str">
        <f>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</row>
    <row r="57" spans="2:8" x14ac:dyDescent="0.2">
      <c r="B57" s="2" t="s">
        <v>169</v>
      </c>
      <c r="C57" s="2" t="str">
        <f>VLOOKUP($B57,'1.1 FY2016'!$B$5:$E$61,2,FALSE)</f>
        <v>Current taxes</v>
      </c>
      <c r="D57" s="30">
        <f>VLOOKUP($B57,'1.1 FY2016'!$B$5:$E$61,3,FALSE)</f>
        <v>111101</v>
      </c>
      <c r="E57" s="2" t="str">
        <f>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</row>
    <row r="58" spans="2:8" x14ac:dyDescent="0.2">
      <c r="B58" s="2" t="s">
        <v>170</v>
      </c>
      <c r="C58" s="2" t="str">
        <f>VLOOKUP($B58,'1.1 FY2016'!$B$5:$E$61,2,FALSE)</f>
        <v>Regional taxes</v>
      </c>
      <c r="D58" s="30">
        <f>VLOOKUP($B58,'1.1 FY2016'!$B$5:$E$61,3,FALSE)</f>
        <v>111101</v>
      </c>
      <c r="E58" s="2" t="str">
        <f>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</row>
    <row r="59" spans="2:8" x14ac:dyDescent="0.2">
      <c r="B59" s="2" t="s">
        <v>171</v>
      </c>
      <c r="C59" s="2" t="str">
        <f>VLOOKUP($B59,'1.1 FY2016'!$B$5:$E$61,2,FALSE)</f>
        <v>Deferred taxes</v>
      </c>
      <c r="D59" s="30">
        <f>VLOOKUP($B59,'1.1 FY2016'!$B$5:$E$61,3,FALSE)</f>
        <v>111101</v>
      </c>
      <c r="E59" s="2" t="str">
        <f>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</row>
    <row r="60" spans="2:8" x14ac:dyDescent="0.2">
      <c r="B60" s="2" t="s">
        <v>172</v>
      </c>
      <c r="C60" s="2" t="str">
        <f>VLOOKUP($B60,'1.1 FY2016'!$B$5:$E$61,2,FALSE)</f>
        <v>Net income/(loss)</v>
      </c>
      <c r="D60" s="30">
        <f>VLOOKUP($B60,'1.1 FY2016'!$B$5:$E$61,3,FALSE)</f>
        <v>111101</v>
      </c>
      <c r="E60" s="2" t="str">
        <f>VLOOKUP($B60,'1.1 FY2016'!$B$5:$E$61,4,FALSE)</f>
        <v>Not assigned</v>
      </c>
      <c r="F60" s="21">
        <f>-SUMIF('1.1 FY2016'!$B:$B,'2.1 Database'!B60,'1.1 FY2016'!$F:$F)</f>
        <v>2904117.9939999986</v>
      </c>
      <c r="G60" s="21">
        <f>-SUMIF('1.2 FY2017'!$B:$B,'2.1 Database'!B60,'1.2 FY2017'!$F:$F)</f>
        <v>0</v>
      </c>
      <c r="H60" s="21">
        <f>-SUMIF('1.3 FY2018'!$B:$B,'2.1 Database'!B60,'1.3 FY2018'!$F:$F)</f>
        <v>0</v>
      </c>
    </row>
    <row r="61" spans="2:8" x14ac:dyDescent="0.2">
      <c r="B61" s="2" t="s">
        <v>173</v>
      </c>
      <c r="C61" s="2" t="str">
        <f>VLOOKUP($B61,'1.2 FY2017'!$B$5:$E$86,2,FALSE)</f>
        <v>Core business revenues</v>
      </c>
      <c r="D61" s="30">
        <f>VLOOKUP($B61,'1.2 FY2017'!$B$5:$E$86,3,FALSE)</f>
        <v>105</v>
      </c>
      <c r="E61" s="2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</row>
    <row r="62" spans="2:8" x14ac:dyDescent="0.2">
      <c r="B62" s="2" t="s">
        <v>174</v>
      </c>
      <c r="C62" s="2" t="str">
        <f>VLOOKUP($B62,'1.2 FY2017'!$B$5:$E$86,2,FALSE)</f>
        <v>Capitalized costs</v>
      </c>
      <c r="D62" s="30" t="str">
        <f>VLOOKUP($B62,'1.2 FY2017'!$B$5:$E$86,3,FALSE)</f>
        <v>1086</v>
      </c>
      <c r="E62" s="2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</row>
    <row r="63" spans="2:8" x14ac:dyDescent="0.2">
      <c r="B63" s="2" t="s">
        <v>175</v>
      </c>
      <c r="C63" s="2" t="str">
        <f>VLOOKUP($B63,'1.2 FY2017'!$B$5:$E$86,2,FALSE)</f>
        <v>Utility charges</v>
      </c>
      <c r="D63" s="30">
        <f>VLOOKUP($B63,'1.2 FY2017'!$B$5:$E$86,3,FALSE)</f>
        <v>111111</v>
      </c>
      <c r="E63" s="2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</row>
    <row r="64" spans="2:8" x14ac:dyDescent="0.2">
      <c r="B64" s="2" t="s">
        <v>176</v>
      </c>
      <c r="C64" s="2" t="str">
        <f>VLOOKUP($B64,'1.2 FY2017'!$B$5:$E$86,2,FALSE)</f>
        <v>R&amp;D expenses</v>
      </c>
      <c r="D64" s="30">
        <f>VLOOKUP($B64,'1.2 FY2017'!$B$5:$E$86,3,FALSE)</f>
        <v>19</v>
      </c>
      <c r="E64" s="2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</row>
    <row r="65" spans="2:8" x14ac:dyDescent="0.2">
      <c r="B65" s="2" t="s">
        <v>177</v>
      </c>
      <c r="C65" s="2" t="str">
        <f>VLOOKUP($B65,'1.2 FY2017'!$B$5:$E$86,2,FALSE)</f>
        <v>R&amp;D expenses</v>
      </c>
      <c r="D65" s="30" t="str">
        <f>VLOOKUP($B65,'1.2 FY2017'!$B$5:$E$86,3,FALSE)</f>
        <v>1283</v>
      </c>
      <c r="E65" s="2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</row>
    <row r="66" spans="2:8" x14ac:dyDescent="0.2">
      <c r="B66" s="2" t="s">
        <v>178</v>
      </c>
      <c r="C66" s="2" t="str">
        <f>VLOOKUP($B66,'1.2 FY2017'!$B$5:$E$86,2,FALSE)</f>
        <v>R&amp;D expenses</v>
      </c>
      <c r="D66" s="30" t="str">
        <f>VLOOKUP($B66,'1.2 FY2017'!$B$5:$E$86,3,FALSE)</f>
        <v>1924</v>
      </c>
      <c r="E66" s="2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</row>
    <row r="67" spans="2:8" x14ac:dyDescent="0.2">
      <c r="B67" s="2" t="s">
        <v>179</v>
      </c>
      <c r="C67" s="2" t="str">
        <f>VLOOKUP($B67,'1.2 FY2017'!$B$5:$E$86,2,FALSE)</f>
        <v>R&amp;D expenses</v>
      </c>
      <c r="D67" s="30" t="str">
        <f>VLOOKUP($B67,'1.2 FY2017'!$B$5:$E$86,3,FALSE)</f>
        <v>2486</v>
      </c>
      <c r="E67" s="2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</row>
    <row r="68" spans="2:8" x14ac:dyDescent="0.2">
      <c r="B68" s="2" t="s">
        <v>180</v>
      </c>
      <c r="C68" s="2" t="str">
        <f>VLOOKUP($B68,'1.2 FY2017'!$B$5:$E$86,2,FALSE)</f>
        <v>Other personnel expenses</v>
      </c>
      <c r="D68" s="30">
        <f>VLOOKUP($B68,'1.2 FY2017'!$B$5:$E$86,3,FALSE)</f>
        <v>111101</v>
      </c>
      <c r="E68" s="2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</row>
    <row r="69" spans="2:8" x14ac:dyDescent="0.2">
      <c r="B69" s="2" t="s">
        <v>181</v>
      </c>
      <c r="C69" s="2" t="str">
        <f>VLOOKUP($B69,'1.2 FY2017'!$B$5:$E$86,2,FALSE)</f>
        <v>D&amp;A</v>
      </c>
      <c r="D69" s="30">
        <f>VLOOKUP($B69,'1.2 FY2017'!$B$5:$E$86,3,FALSE)</f>
        <v>111101</v>
      </c>
      <c r="E69" s="2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</row>
    <row r="70" spans="2:8" x14ac:dyDescent="0.2">
      <c r="B70" s="2" t="s">
        <v>182</v>
      </c>
      <c r="C70" s="2" t="str">
        <f>VLOOKUP($B70,'1.2 FY2017'!$B$5:$E$86,2,FALSE)</f>
        <v>Gains from disposal of PP&amp;E</v>
      </c>
      <c r="D70" s="30">
        <f>VLOOKUP($B70,'1.2 FY2017'!$B$5:$E$86,3,FALSE)</f>
        <v>111111</v>
      </c>
      <c r="E70" s="2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</row>
    <row r="71" spans="2:8" x14ac:dyDescent="0.2">
      <c r="B71" s="2" t="s">
        <v>183</v>
      </c>
      <c r="C71" s="2" t="str">
        <f>VLOOKUP($B71,'1.2 FY2017'!$B$5:$E$86,2,FALSE)</f>
        <v>Corporate recharges</v>
      </c>
      <c r="D71" s="30">
        <f>VLOOKUP($B71,'1.2 FY2017'!$B$5:$E$86,3,FALSE)</f>
        <v>19</v>
      </c>
      <c r="E71" s="2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</row>
    <row r="72" spans="2:8" x14ac:dyDescent="0.2">
      <c r="B72" s="2" t="s">
        <v>184</v>
      </c>
      <c r="C72" s="2" t="str">
        <f>VLOOKUP($B72,'1.2 FY2017'!$B$5:$E$86,2,FALSE)</f>
        <v>Corporate recharges</v>
      </c>
      <c r="D72" s="30" t="str">
        <f>VLOOKUP($B72,'1.2 FY2017'!$B$5:$E$86,3,FALSE)</f>
        <v>1076</v>
      </c>
      <c r="E72" s="2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</row>
    <row r="73" spans="2:8" x14ac:dyDescent="0.2">
      <c r="B73" s="2" t="s">
        <v>185</v>
      </c>
      <c r="C73" s="2" t="str">
        <f>VLOOKUP($B73,'1.2 FY2017'!$B$5:$E$86,2,FALSE)</f>
        <v>Corporate recharges</v>
      </c>
      <c r="D73" s="30" t="str">
        <f>VLOOKUP($B73,'1.2 FY2017'!$B$5:$E$86,3,FALSE)</f>
        <v>1086</v>
      </c>
      <c r="E73" s="2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</row>
    <row r="74" spans="2:8" x14ac:dyDescent="0.2">
      <c r="B74" s="2" t="s">
        <v>186</v>
      </c>
      <c r="C74" s="2" t="str">
        <f>VLOOKUP($B74,'1.2 FY2017'!$B$5:$E$86,2,FALSE)</f>
        <v>Corporate recharges</v>
      </c>
      <c r="D74" s="30" t="str">
        <f>VLOOKUP($B74,'1.2 FY2017'!$B$5:$E$86,3,FALSE)</f>
        <v>47037</v>
      </c>
      <c r="E74" s="2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</row>
    <row r="75" spans="2:8" x14ac:dyDescent="0.2">
      <c r="B75" s="2" t="s">
        <v>187</v>
      </c>
      <c r="C75" s="2" t="str">
        <f>VLOOKUP($B75,'1.2 FY2017'!$B$5:$E$86,2,FALSE)</f>
        <v>Other income</v>
      </c>
      <c r="D75" s="30">
        <f>VLOOKUP($B75,'1.2 FY2017'!$B$5:$E$86,3,FALSE)</f>
        <v>88</v>
      </c>
      <c r="E75" s="2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</row>
    <row r="76" spans="2:8" x14ac:dyDescent="0.2">
      <c r="B76" s="2" t="s">
        <v>188</v>
      </c>
      <c r="C76" s="2" t="str">
        <f>VLOOKUP($B76,'1.2 FY2017'!$B$5:$E$86,2,FALSE)</f>
        <v>Concession fees other</v>
      </c>
      <c r="D76" s="30">
        <f>VLOOKUP($B76,'1.2 FY2017'!$B$5:$E$86,3,FALSE)</f>
        <v>111101</v>
      </c>
      <c r="E76" s="2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</row>
    <row r="77" spans="2:8" x14ac:dyDescent="0.2">
      <c r="B77" s="2" t="s">
        <v>189</v>
      </c>
      <c r="C77" s="2" t="str">
        <f>VLOOKUP($B77,'1.2 FY2017'!$B$5:$E$86,2,FALSE)</f>
        <v>Service expenses</v>
      </c>
      <c r="D77" s="30">
        <f>VLOOKUP($B77,'1.2 FY2017'!$B$5:$E$86,3,FALSE)</f>
        <v>105</v>
      </c>
      <c r="E77" s="2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</row>
    <row r="78" spans="2:8" x14ac:dyDescent="0.2">
      <c r="B78" s="2" t="s">
        <v>190</v>
      </c>
      <c r="C78" s="2" t="str">
        <f>VLOOKUP($B78,'1.2 FY2017'!$B$5:$E$86,2,FALSE)</f>
        <v>Insurance expenses</v>
      </c>
      <c r="D78" s="30">
        <f>VLOOKUP($B78,'1.2 FY2017'!$B$5:$E$86,3,FALSE)</f>
        <v>1900</v>
      </c>
      <c r="E78" s="2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8" x14ac:dyDescent="0.2">
      <c r="B79" s="2" t="s">
        <v>191</v>
      </c>
      <c r="C79" s="2" t="str">
        <f>VLOOKUP($B79,'1.2 FY2017'!$B$5:$E$86,2,FALSE)</f>
        <v>Travel expenses</v>
      </c>
      <c r="D79" s="30" t="str">
        <f>VLOOKUP($B79,'1.2 FY2017'!$B$5:$E$86,3,FALSE)</f>
        <v>1118</v>
      </c>
      <c r="E79" s="2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</row>
    <row r="80" spans="2:8" x14ac:dyDescent="0.2">
      <c r="B80" s="2" t="s">
        <v>192</v>
      </c>
      <c r="C80" s="2" t="str">
        <f>VLOOKUP($B80,'1.2 FY2017'!$B$5:$E$86,2,FALSE)</f>
        <v>Losses fr disposal of PPE</v>
      </c>
      <c r="D80" s="30">
        <f>VLOOKUP($B80,'1.2 FY2017'!$B$5:$E$86,3,FALSE)</f>
        <v>111111</v>
      </c>
      <c r="E80" s="2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</row>
    <row r="81" spans="2:8" x14ac:dyDescent="0.2">
      <c r="B81" s="2" t="s">
        <v>193</v>
      </c>
      <c r="C81" s="2" t="str">
        <f>VLOOKUP($B81,'1.2 FY2017'!$B$5:$E$86,2,FALSE)</f>
        <v>Other operative currency differences</v>
      </c>
      <c r="D81" s="30">
        <f>VLOOKUP($B81,'1.2 FY2017'!$B$5:$E$86,3,FALSE)</f>
        <v>19</v>
      </c>
      <c r="E81" s="2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</row>
    <row r="82" spans="2:8" x14ac:dyDescent="0.2">
      <c r="B82" s="2" t="s">
        <v>194</v>
      </c>
      <c r="C82" s="2" t="str">
        <f>VLOOKUP($B82,'1.2 FY2017'!$B$5:$E$86,2,FALSE)</f>
        <v>Other operative currency differences</v>
      </c>
      <c r="D82" s="30">
        <f>VLOOKUP($B82,'1.2 FY2017'!$B$5:$E$86,3,FALSE)</f>
        <v>111111</v>
      </c>
      <c r="E82" s="2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</row>
    <row r="83" spans="2:8" x14ac:dyDescent="0.2">
      <c r="B83" s="2" t="s">
        <v>195</v>
      </c>
      <c r="C83" s="2" t="str">
        <f>VLOOKUP($B83,'1.2 FY2017'!$B$5:$E$86,2,FALSE)</f>
        <v>Property tax</v>
      </c>
      <c r="D83" s="30">
        <f>VLOOKUP($B83,'1.2 FY2017'!$B$5:$E$86,3,FALSE)</f>
        <v>111111</v>
      </c>
      <c r="E83" s="2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</row>
    <row r="84" spans="2:8" x14ac:dyDescent="0.2">
      <c r="B84" s="2" t="s">
        <v>196</v>
      </c>
      <c r="C84" s="2" t="str">
        <f>VLOOKUP($B84,'1.2 FY2017'!$B$5:$E$86,2,FALSE)</f>
        <v>Misc extraordinary expenses</v>
      </c>
      <c r="D84" s="30">
        <f>VLOOKUP($B84,'1.2 FY2017'!$B$5:$E$86,3,FALSE)</f>
        <v>19</v>
      </c>
      <c r="E84" s="2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</row>
    <row r="85" spans="2:8" x14ac:dyDescent="0.2">
      <c r="B85" s="2" t="s">
        <v>197</v>
      </c>
      <c r="C85" s="2" t="str">
        <f>VLOOKUP($B85,'1.2 FY2017'!$B$5:$E$86,2,FALSE)</f>
        <v>Misc extraordinary expenses</v>
      </c>
      <c r="D85" s="30" t="str">
        <f>VLOOKUP($B85,'1.2 FY2017'!$B$5:$E$86,3,FALSE)</f>
        <v>43</v>
      </c>
      <c r="E85" s="2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</row>
    <row r="86" spans="2:8" x14ac:dyDescent="0.2">
      <c r="B86" s="2" t="s">
        <v>198</v>
      </c>
      <c r="C86" s="2" t="str">
        <f>VLOOKUP($B86,'1.2 FY2017'!$B$5:$E$86,2,FALSE)</f>
        <v>Misc extraordinary expenses</v>
      </c>
      <c r="D86" s="30" t="str">
        <f>VLOOKUP($B86,'1.2 FY2017'!$B$5:$E$86,3,FALSE)</f>
        <v>1924</v>
      </c>
      <c r="E86" s="2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</row>
    <row r="87" spans="2:8" x14ac:dyDescent="0.2">
      <c r="B87" s="2" t="s">
        <v>199</v>
      </c>
      <c r="C87" s="2" t="str">
        <f>VLOOKUP($B87,'1.2 FY2017'!$B$5:$E$86,2,FALSE)</f>
        <v>Difference from eliminations</v>
      </c>
      <c r="D87" s="30" t="str">
        <f>VLOOKUP($B87,'1.2 FY2017'!$B$5:$E$86,3,FALSE)</f>
        <v>1086</v>
      </c>
      <c r="E87" s="2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8" x14ac:dyDescent="0.2">
      <c r="B88" s="2" t="s">
        <v>200</v>
      </c>
      <c r="C88" s="2" t="str">
        <f>VLOOKUP($B88,'1.2 FY2017'!$B$5:$E$86,2,FALSE)</f>
        <v>Interest income</v>
      </c>
      <c r="D88" s="30" t="str">
        <f>VLOOKUP($B88,'1.2 FY2017'!$B$5:$E$86,3,FALSE)</f>
        <v>1086</v>
      </c>
      <c r="E88" s="2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</row>
    <row r="89" spans="2:8" x14ac:dyDescent="0.2">
      <c r="B89" s="2" t="s">
        <v>201</v>
      </c>
      <c r="C89" s="2" t="str">
        <f>VLOOKUP($B89,'1.2 FY2017'!$B$5:$E$86,2,FALSE)</f>
        <v>Interest income</v>
      </c>
      <c r="D89" s="30">
        <f>VLOOKUP($B89,'1.2 FY2017'!$B$5:$E$86,3,FALSE)</f>
        <v>1006</v>
      </c>
      <c r="E89" s="2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</row>
    <row r="90" spans="2:8" x14ac:dyDescent="0.2">
      <c r="B90" s="2" t="s">
        <v>202</v>
      </c>
      <c r="C90" s="2" t="str">
        <f>VLOOKUP($B90,'1.2 FY2017'!$B$5:$E$86,2,FALSE)</f>
        <v>Interest expenses</v>
      </c>
      <c r="D90" s="30">
        <f>VLOOKUP($B90,'1.2 FY2017'!$B$5:$E$86,3,FALSE)</f>
        <v>1007</v>
      </c>
      <c r="E90" s="2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</row>
    <row r="91" spans="2:8" x14ac:dyDescent="0.2">
      <c r="B91" s="2" t="s">
        <v>203</v>
      </c>
      <c r="C91" s="2" t="str">
        <f>VLOOKUP($B91,'1.2 FY2017'!$B$5:$E$86,2,FALSE)</f>
        <v>Interest expenses</v>
      </c>
      <c r="D91" s="30">
        <f>VLOOKUP($B91,'1.2 FY2017'!$B$5:$E$86,3,FALSE)</f>
        <v>111111</v>
      </c>
      <c r="E91" s="2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</row>
    <row r="92" spans="2:8" x14ac:dyDescent="0.2">
      <c r="B92" s="2" t="s">
        <v>204</v>
      </c>
      <c r="C92" s="2" t="str">
        <f>VLOOKUP($B92,'1.2 FY2017'!$B$5:$E$86,2,FALSE)</f>
        <v>Impairment of participation</v>
      </c>
      <c r="D92" s="30">
        <f>VLOOKUP($B92,'1.2 FY2017'!$B$5:$E$86,3,FALSE)</f>
        <v>1240</v>
      </c>
      <c r="E92" s="2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</row>
    <row r="93" spans="2:8" x14ac:dyDescent="0.2">
      <c r="B93" s="2" t="s">
        <v>205</v>
      </c>
      <c r="C93" s="2" t="str">
        <f>VLOOKUP($B93,'1.2 FY2017'!$B$5:$E$86,2,FALSE)</f>
        <v>Quarterly changes in current taxes</v>
      </c>
      <c r="D93" s="30">
        <f>VLOOKUP($B93,'1.2 FY2017'!$B$5:$E$86,3,FALSE)</f>
        <v>111101</v>
      </c>
      <c r="E93" s="2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8" x14ac:dyDescent="0.2">
      <c r="B94" s="2" t="s">
        <v>206</v>
      </c>
      <c r="C94" s="2" t="str">
        <f>VLOOKUP($B94,'1.2 FY2017'!$B$5:$E$86,2,FALSE)</f>
        <v>Net income/(loss)</v>
      </c>
      <c r="D94" s="30">
        <f>VLOOKUP($B94,'1.2 FY2017'!$B$5:$E$86,3,FALSE)</f>
        <v>111101</v>
      </c>
      <c r="E94" s="2" t="str">
        <f>VLOOKUP($B94,'1.2 FY2017'!$B$5:$E$86,4,FALSE)</f>
        <v>Not assigned</v>
      </c>
      <c r="F94" s="21">
        <f>-SUMIF('1.1 FY2016'!$B:$B,'2.1 Database'!B94,'1.1 FY2016'!$F:$F)</f>
        <v>0</v>
      </c>
      <c r="G94" s="21">
        <f>-SUMIF('1.2 FY2017'!$B:$B,'2.1 Database'!B94,'1.2 FY2017'!$F:$F)</f>
        <v>-6073808.1600000001</v>
      </c>
      <c r="H94" s="21">
        <f>-SUMIF('1.3 FY2018'!$B:$B,'2.1 Database'!B94,'1.3 FY2018'!$F:$F)</f>
        <v>779290.47600000002</v>
      </c>
    </row>
    <row r="95" spans="2:8" x14ac:dyDescent="0.2">
      <c r="B95" s="2" t="s">
        <v>207</v>
      </c>
      <c r="C95" s="2" t="str">
        <f>VLOOKUP($B95,'1.3 FY2018'!$B$5:$E$78,2,FALSE)</f>
        <v>Operating expenses for utilities</v>
      </c>
      <c r="D95" s="30">
        <f>VLOOKUP($B95,'1.3 FY2018'!$B$5:$E$78,3,FALSE)</f>
        <v>111111</v>
      </c>
      <c r="E95" s="2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</row>
    <row r="96" spans="2:8" x14ac:dyDescent="0.2">
      <c r="B96" s="2" t="s">
        <v>208</v>
      </c>
      <c r="C96" s="2" t="str">
        <f>VLOOKUP($B96,'1.3 FY2018'!$B$5:$E$78,2,FALSE)</f>
        <v>R&amp;D expenses</v>
      </c>
      <c r="D96" s="30" t="str">
        <f>VLOOKUP($B96,'1.3 FY2018'!$B$5:$E$78,3,FALSE)</f>
        <v>2185</v>
      </c>
      <c r="E96" s="2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</row>
    <row r="97" spans="2:8" x14ac:dyDescent="0.2">
      <c r="B97" s="2" t="s">
        <v>209</v>
      </c>
      <c r="C97" s="2" t="str">
        <f>VLOOKUP($B97,'1.3 FY2018'!$B$5:$E$78,2,FALSE)</f>
        <v>R&amp;D expenses</v>
      </c>
      <c r="D97" s="30" t="str">
        <f>VLOOKUP($B97,'1.3 FY2018'!$B$5:$E$78,3,FALSE)</f>
        <v>2240</v>
      </c>
      <c r="E97" s="2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</row>
    <row r="98" spans="2:8" x14ac:dyDescent="0.2">
      <c r="B98" s="2" t="s">
        <v>210</v>
      </c>
      <c r="C98" s="2" t="str">
        <f>VLOOKUP($B98,'1.3 FY2018'!$B$5:$E$78,2,FALSE)</f>
        <v>R&amp;D expenses</v>
      </c>
      <c r="D98" s="30">
        <f>VLOOKUP($B98,'1.3 FY2018'!$B$5:$E$78,3,FALSE)</f>
        <v>17000</v>
      </c>
      <c r="E98" s="2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</row>
    <row r="99" spans="2:8" x14ac:dyDescent="0.2">
      <c r="B99" s="2" t="s">
        <v>211</v>
      </c>
      <c r="C99" s="2" t="str">
        <f>VLOOKUP($B99,'1.3 FY2018'!$B$5:$E$78,2,FALSE)</f>
        <v>Other operative currency differences</v>
      </c>
      <c r="D99" s="30" t="str">
        <f>VLOOKUP($B99,'1.3 FY2018'!$B$5:$E$78,3,FALSE)</f>
        <v>1118</v>
      </c>
      <c r="E99" s="2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</row>
    <row r="100" spans="2:8" x14ac:dyDescent="0.2">
      <c r="B100" s="2" t="s">
        <v>212</v>
      </c>
      <c r="C100" s="2" t="str">
        <f>VLOOKUP($B100,'1.3 FY2018'!$B$5:$E$78,2,FALSE)</f>
        <v>Other operative currency differences</v>
      </c>
      <c r="D100" s="30">
        <f>VLOOKUP($B100,'1.3 FY2018'!$B$5:$E$78,3,FALSE)</f>
        <v>111111</v>
      </c>
      <c r="E100" s="2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</row>
    <row r="101" spans="2:8" x14ac:dyDescent="0.2">
      <c r="B101" s="2" t="s">
        <v>213</v>
      </c>
      <c r="C101" s="2" t="str">
        <f>VLOOKUP($B101,'1.3 FY2018'!$B$5:$E$78,2,FALSE)</f>
        <v>Corporate recharges</v>
      </c>
      <c r="D101" s="30">
        <f>VLOOKUP($B101,'1.3 FY2018'!$B$5:$E$78,3,FALSE)</f>
        <v>1006</v>
      </c>
      <c r="E101" s="2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</row>
    <row r="102" spans="2:8" x14ac:dyDescent="0.2">
      <c r="B102" s="2" t="s">
        <v>214</v>
      </c>
      <c r="C102" s="2" t="str">
        <f>VLOOKUP($B102,'1.3 FY2018'!$B$5:$E$78,2,FALSE)</f>
        <v>Reimbursements+compensation for damages</v>
      </c>
      <c r="D102" s="30">
        <f>VLOOKUP($B102,'1.3 FY2018'!$B$5:$E$78,3,FALSE)</f>
        <v>111111</v>
      </c>
      <c r="E102" s="2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</row>
    <row r="103" spans="2:8" x14ac:dyDescent="0.2">
      <c r="B103" s="2" t="s">
        <v>215</v>
      </c>
      <c r="C103" s="2" t="str">
        <f>VLOOKUP($B103,'1.3 FY2018'!$B$5:$E$78,2,FALSE)</f>
        <v>Other income</v>
      </c>
      <c r="D103" s="30">
        <f>VLOOKUP($B103,'1.3 FY2018'!$B$5:$E$78,3,FALSE)</f>
        <v>105</v>
      </c>
      <c r="E103" s="2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</row>
    <row r="104" spans="2:8" x14ac:dyDescent="0.2">
      <c r="B104" s="2" t="s">
        <v>216</v>
      </c>
      <c r="C104" s="2" t="str">
        <f>VLOOKUP($B104,'1.3 FY2018'!$B$5:$E$78,2,FALSE)</f>
        <v>Leasings</v>
      </c>
      <c r="D104" s="30">
        <f>VLOOKUP($B104,'1.3 FY2018'!$B$5:$E$78,3,FALSE)</f>
        <v>105</v>
      </c>
      <c r="E104" s="2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</row>
    <row r="105" spans="2:8" x14ac:dyDescent="0.2">
      <c r="B105" s="2" t="s">
        <v>217</v>
      </c>
      <c r="C105" s="2" t="str">
        <f>VLOOKUP($B105,'1.3 FY2018'!$B$5:$E$78,2,FALSE)</f>
        <v>Insurance expenses</v>
      </c>
      <c r="D105" s="30">
        <f>VLOOKUP($B105,'1.3 FY2018'!$B$5:$E$78,3,FALSE)</f>
        <v>88</v>
      </c>
      <c r="E105" s="2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</row>
    <row r="106" spans="2:8" x14ac:dyDescent="0.2">
      <c r="B106" s="2" t="s">
        <v>218</v>
      </c>
      <c r="C106" s="2" t="str">
        <f>VLOOKUP($B106,'1.3 FY2018'!$B$5:$E$78,2,FALSE)</f>
        <v>Repairs/Maintenance costs</v>
      </c>
      <c r="D106" s="30">
        <f>VLOOKUP($B106,'1.3 FY2018'!$B$5:$E$78,3,FALSE)</f>
        <v>111111</v>
      </c>
      <c r="E106" s="2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</row>
    <row r="107" spans="2:8" x14ac:dyDescent="0.2">
      <c r="B107" s="2" t="s">
        <v>219</v>
      </c>
      <c r="C107" s="2" t="str">
        <f>VLOOKUP($B107,'1.3 FY2018'!$B$5:$E$78,2,FALSE)</f>
        <v>Impairment of participation</v>
      </c>
      <c r="D107" s="30">
        <f>VLOOKUP($B107,'1.3 FY2018'!$B$5:$E$78,3,FALSE)</f>
        <v>111101</v>
      </c>
      <c r="E107" s="2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8" x14ac:dyDescent="0.2">
      <c r="B108" s="2" t="s">
        <v>220</v>
      </c>
      <c r="C108" s="2" t="str">
        <f>VLOOKUP($B108,'1.3 FY2018'!$B$5:$E$78,2,FALSE)</f>
        <v>Offset segments (tech.)</v>
      </c>
      <c r="D108" s="30">
        <f>VLOOKUP($B108,'1.3 FY2018'!$B$5:$E$78,3,FALSE)</f>
        <v>111101</v>
      </c>
      <c r="E108" s="2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8" ht="15" x14ac:dyDescent="0.25">
      <c r="B109"/>
    </row>
    <row r="110" spans="2:8" ht="15" x14ac:dyDescent="0.25">
      <c r="B110"/>
    </row>
    <row r="111" spans="2:8" ht="15" x14ac:dyDescent="0.25">
      <c r="B111"/>
    </row>
    <row r="112" spans="2:8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  <row r="216" spans="2:2" ht="15" x14ac:dyDescent="0.25">
      <c r="B216"/>
    </row>
  </sheetData>
  <autoFilter ref="B3:H108" xr:uid="{58EF810D-3E27-4416-9F46-82021184253C}"/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2020-08-13T06:38:54Z</dcterms:modified>
</cp:coreProperties>
</file>